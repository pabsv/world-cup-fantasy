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autoCompressPictures="0" defaultThemeVersion="124226"/>
  <mc:AlternateContent xmlns:mc="http://schemas.openxmlformats.org/markup-compatibility/2006">
    <mc:Choice Requires="x15">
      <x15ac:absPath xmlns:x15ac="http://schemas.microsoft.com/office/spreadsheetml/2010/11/ac" url="/Users/Mat/Mi unidad (excelfutbol@gmail.com)/2026/SIN PREDICTOR/"/>
    </mc:Choice>
  </mc:AlternateContent>
  <xr:revisionPtr revIDLastSave="0" documentId="13_ncr:1_{E63BB3F9-B283-7A4C-AC3C-4D83CF2165F3}" xr6:coauthVersionLast="47" xr6:coauthVersionMax="47" xr10:uidLastSave="{00000000-0000-0000-0000-000000000000}"/>
  <bookViews>
    <workbookView xWindow="80" yWindow="520" windowWidth="28520" windowHeight="15940"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E16" i="30" l="1"/>
  <c r="D34" i="36"/>
  <c r="W150" i="3" s="1"/>
  <c r="B250" i="31" s="1"/>
  <c r="D54" i="36"/>
  <c r="AN5" i="3" s="1"/>
  <c r="D84" i="36"/>
  <c r="L4" i="34" s="1"/>
  <c r="D87" i="36"/>
  <c r="L11" i="34" s="1"/>
  <c r="D260" i="36"/>
  <c r="D27" i="36"/>
  <c r="W99" i="3" s="1"/>
  <c r="D43" i="36"/>
  <c r="AA155" i="3" s="1"/>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B227" i="31"/>
  <c r="W1" i="3"/>
  <c r="AZ69" i="3"/>
  <c r="Z64" i="3"/>
  <c r="Z49" i="3"/>
  <c r="Z81" i="3"/>
  <c r="Z96" i="3"/>
  <c r="Z73" i="3"/>
  <c r="Z17" i="3"/>
  <c r="Z80" i="3"/>
  <c r="Z56" i="3"/>
  <c r="Z33" i="3"/>
  <c r="AJ29" i="3"/>
  <c r="AJ21" i="3"/>
  <c r="AJ45" i="3"/>
  <c r="AA154" i="3"/>
  <c r="C253" i="31" s="1"/>
  <c r="AA160" i="3"/>
  <c r="C258" i="31" s="1"/>
  <c r="AA159" i="3"/>
  <c r="D72" i="36"/>
  <c r="AY3" i="3" s="1"/>
  <c r="D273" i="36"/>
  <c r="EU6144" i="34"/>
  <c r="G227" i="36" s="1"/>
  <c r="D227" i="36" s="1"/>
  <c r="K27" i="6" s="1"/>
  <c r="E17" i="30"/>
  <c r="AC19" i="3"/>
  <c r="AC83" i="3"/>
  <c r="AC91" i="3"/>
  <c r="AC75" i="3"/>
  <c r="AC35" i="3"/>
  <c r="AC142" i="3"/>
  <c r="AC130" i="3"/>
  <c r="AC27" i="3"/>
  <c r="AC119" i="3"/>
  <c r="AC67" i="3"/>
  <c r="AC59" i="3"/>
  <c r="BF5" i="3"/>
  <c r="BF57" i="3" s="1"/>
  <c r="AN13" i="3"/>
  <c r="AN45" i="3"/>
  <c r="AN21" i="3"/>
  <c r="Y119" i="3"/>
  <c r="Y100" i="3"/>
  <c r="Y142" i="3"/>
  <c r="AO61" i="3"/>
  <c r="AO29" i="3"/>
  <c r="AO13" i="3"/>
  <c r="Z28" i="3"/>
  <c r="Z61" i="3"/>
  <c r="Z84" i="3"/>
  <c r="Z52" i="3"/>
  <c r="Z20" i="3"/>
  <c r="Z44" i="3"/>
  <c r="Z92" i="3"/>
  <c r="Z93" i="3"/>
  <c r="AA162" i="3"/>
  <c r="D258" i="36"/>
  <c r="AD19" i="3"/>
  <c r="AT53" i="3"/>
  <c r="B34" i="34"/>
  <c r="Z9" i="3"/>
  <c r="Z41"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Z31"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36"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N93" i="3"/>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AM69" i="3"/>
  <c r="Z76" i="3"/>
  <c r="Z53" i="3"/>
  <c r="Z16" i="3"/>
  <c r="AM37" i="3"/>
  <c r="AT77" i="3"/>
  <c r="AF137" i="3"/>
  <c r="AF19" i="3"/>
  <c r="AF35" i="3" s="1"/>
  <c r="Z95" i="3"/>
  <c r="Z22" i="3"/>
  <c r="Z87" i="3"/>
  <c r="Z23" i="3"/>
  <c r="Z94" i="3"/>
  <c r="Z78" i="3"/>
  <c r="Z71" i="3"/>
  <c r="Z47" i="3"/>
  <c r="Z54" i="3"/>
  <c r="C257" i="31"/>
  <c r="Z75" i="3"/>
  <c r="Z51" i="3"/>
  <c r="Z67" i="3"/>
  <c r="AT37" i="3"/>
  <c r="Y11" i="3"/>
  <c r="Y27" i="3" s="1"/>
  <c r="Y43" i="3" s="1"/>
  <c r="Z91" i="3"/>
  <c r="X146" i="3"/>
  <c r="Z30" i="3"/>
  <c r="Y130" i="3"/>
  <c r="AT29" i="3"/>
  <c r="X75" i="3"/>
  <c r="Z62" i="3"/>
  <c r="AN101" i="3"/>
  <c r="AN61" i="3"/>
  <c r="AN77" i="3"/>
  <c r="AN37" i="3"/>
  <c r="Y137" i="3"/>
  <c r="AN69" i="3"/>
  <c r="Y83" i="3"/>
  <c r="Z11" i="3"/>
  <c r="Z27" i="3" s="1"/>
  <c r="Z43" i="3" s="1"/>
  <c r="X119" i="3"/>
  <c r="Z7" i="3"/>
  <c r="AD11" i="3"/>
  <c r="AD119" i="3"/>
  <c r="AD75" i="3"/>
  <c r="AD83" i="3"/>
  <c r="AD142" i="3"/>
  <c r="AD67" i="3"/>
  <c r="AC100" i="3"/>
  <c r="AC43" i="3"/>
  <c r="AC51" i="3"/>
  <c r="AC11" i="3"/>
  <c r="Z19" i="3"/>
  <c r="Z35" i="3" s="1"/>
  <c r="Z15" i="3"/>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39" i="3"/>
  <c r="Z63" i="3"/>
  <c r="Z70" i="3"/>
  <c r="AJ13" i="3"/>
  <c r="AJ85" i="3"/>
  <c r="AL13" i="3"/>
  <c r="AY13" i="3" s="1"/>
  <c r="AL21" i="3"/>
  <c r="AY21" i="3" s="1"/>
  <c r="AL53" i="3"/>
  <c r="AY53" i="3" s="1"/>
  <c r="AP69" i="3"/>
  <c r="AP77" i="3"/>
  <c r="BH5" i="3"/>
  <c r="BH57" i="3" s="1"/>
  <c r="AO93" i="3"/>
  <c r="Z46" i="3"/>
  <c r="Z14" i="3"/>
  <c r="AJ77" i="3"/>
  <c r="AJ53" i="3"/>
  <c r="AP85" i="3"/>
  <c r="AP93" i="3"/>
  <c r="AP29" i="3"/>
  <c r="AP37" i="3"/>
  <c r="AO69" i="3"/>
  <c r="AO21" i="3"/>
  <c r="AO53" i="3"/>
  <c r="AF100" i="3"/>
  <c r="AF130" i="3"/>
  <c r="AJ37" i="3"/>
  <c r="AS13" i="3" l="1"/>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AA158" i="3"/>
  <c r="C256" i="31" s="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G158"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5" i="3" l="1"/>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BC29" i="3"/>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46" i="3"/>
  <c r="X111" i="3"/>
  <c r="Y36" i="3"/>
  <c r="Y95" i="3"/>
  <c r="Y49" i="3"/>
  <c r="X15" i="3"/>
  <c r="X108" i="3"/>
  <c r="Y96" i="3"/>
  <c r="Y14" i="3"/>
  <c r="X53" i="3"/>
  <c r="X115" i="3"/>
  <c r="Y76" i="3"/>
  <c r="Y116" i="3"/>
  <c r="X131" i="3"/>
  <c r="Y102" i="3"/>
  <c r="Y104" i="3"/>
  <c r="X24" i="3"/>
  <c r="X125" i="3"/>
  <c r="Y121" i="3"/>
  <c r="Y112" i="3"/>
  <c r="Y61" i="3"/>
  <c r="X38" i="3"/>
  <c r="X89" i="3"/>
  <c r="X65" i="3"/>
  <c r="Y25" i="3"/>
  <c r="Y17" i="3"/>
  <c r="X48" i="3"/>
  <c r="X123" i="3"/>
  <c r="Y143" i="3"/>
  <c r="Y7" i="3"/>
  <c r="Y133" i="3"/>
  <c r="X122" i="3"/>
  <c r="Y113" i="3"/>
  <c r="Y56" i="3"/>
  <c r="Y9" i="3"/>
  <c r="X124" i="3"/>
  <c r="X138" i="3"/>
  <c r="X47" i="3"/>
  <c r="X62" i="3"/>
  <c r="X106" i="3"/>
  <c r="Y21" i="3"/>
  <c r="X78" i="3"/>
  <c r="Y103" i="3"/>
  <c r="Y72" i="3"/>
  <c r="X126" i="3"/>
  <c r="X101" i="3"/>
  <c r="X52" i="3"/>
  <c r="Y28" i="3"/>
  <c r="Y110" i="3"/>
  <c r="Y94" i="3"/>
  <c r="Y16" i="3"/>
  <c r="X79" i="3"/>
  <c r="Y77" i="3"/>
  <c r="X44" i="3"/>
  <c r="X55" i="3"/>
  <c r="X97" i="3"/>
  <c r="Y86" i="3"/>
  <c r="Y4" i="3"/>
  <c r="Y45" i="3"/>
  <c r="Y92" i="3"/>
  <c r="Y85" i="3"/>
  <c r="X13" i="3"/>
  <c r="X107" i="3"/>
  <c r="Y6" i="3"/>
  <c r="X68" i="3"/>
  <c r="X63" i="3"/>
  <c r="X64" i="3"/>
  <c r="Y120" i="3"/>
  <c r="X5" i="3"/>
  <c r="Y8" i="3"/>
  <c r="X20" i="3"/>
  <c r="Y23" i="3"/>
  <c r="Y139" i="3"/>
  <c r="Y127" i="3"/>
  <c r="Y30" i="3"/>
  <c r="Y114" i="3"/>
  <c r="Y41" i="3"/>
  <c r="X57" i="3"/>
  <c r="X134" i="3"/>
  <c r="X32" i="3"/>
  <c r="X54" i="3"/>
  <c r="Y12" i="3"/>
  <c r="Y88" i="3"/>
  <c r="X93" i="3"/>
  <c r="Y84" i="3"/>
  <c r="X60" i="3"/>
  <c r="X80" i="3"/>
  <c r="Y33" i="3"/>
  <c r="X69" i="3"/>
  <c r="X132" i="3" l="1"/>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BW24" i="3"/>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BU28" i="3"/>
  <c r="F46" i="3"/>
  <c r="BW28" i="3"/>
  <c r="E45" i="3"/>
  <c r="BW29" i="3" s="1"/>
  <c r="F92" i="3"/>
  <c r="F95" i="3"/>
  <c r="BW53" i="3" s="1"/>
  <c r="E97" i="3"/>
  <c r="BV52" i="3" s="1"/>
  <c r="F81" i="3"/>
  <c r="E76" i="3"/>
  <c r="E78" i="3"/>
  <c r="BW44" i="3" s="1"/>
  <c r="E48" i="3"/>
  <c r="F44" i="3"/>
  <c r="F47" i="3"/>
  <c r="E38" i="3"/>
  <c r="BW22" i="3"/>
  <c r="F41" i="3"/>
  <c r="BU25" i="3" s="1"/>
  <c r="E36" i="3"/>
  <c r="BW23" i="3" s="1"/>
  <c r="E39" i="3"/>
  <c r="F37" i="3"/>
  <c r="BU24" i="3" s="1"/>
  <c r="E41" i="3"/>
  <c r="BU34" i="3"/>
  <c r="BW34" i="3"/>
  <c r="E62" i="3"/>
  <c r="E60" i="3"/>
  <c r="BW35" i="3" s="1"/>
  <c r="F65" i="3"/>
  <c r="BU37" i="3" s="1"/>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BU42" i="3" s="1"/>
  <c r="BU44" i="3"/>
  <c r="BW36" i="3"/>
  <c r="E61" i="3"/>
  <c r="BW37" i="3" s="1"/>
  <c r="F62" i="3"/>
  <c r="BU36" i="3"/>
  <c r="F64" i="3"/>
  <c r="BU35" i="3" s="1"/>
  <c r="F72" i="3"/>
  <c r="BU41" i="3" s="1"/>
  <c r="E68" i="3"/>
  <c r="BW39" i="3" s="1"/>
  <c r="BW38" i="3"/>
  <c r="BU38" i="3"/>
  <c r="E70" i="3"/>
  <c r="BV50" i="3" l="1"/>
  <c r="BV51" i="3"/>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X51" i="3"/>
  <c r="BV9" i="3"/>
  <c r="BV8" i="3"/>
  <c r="BV6" i="3"/>
  <c r="BW49" i="3"/>
  <c r="BW31" i="3"/>
  <c r="BW47" i="3"/>
  <c r="BX32" i="3"/>
  <c r="BX50" i="3" l="1"/>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I20" i="3"/>
  <c r="H8" i="3"/>
  <c r="H6" i="3"/>
  <c r="I5" i="3"/>
  <c r="H78" i="3"/>
  <c r="I24" i="3"/>
  <c r="H23" i="3"/>
  <c r="H20" i="3"/>
  <c r="H87" i="3" l="1"/>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O94" i="3"/>
  <c r="N56" i="3"/>
  <c r="CI36" i="3"/>
  <c r="CK36" i="3"/>
  <c r="N61" i="3"/>
  <c r="O64" i="3"/>
  <c r="N79" i="3"/>
  <c r="N96" i="3"/>
  <c r="O97" i="3"/>
  <c r="O95" i="3"/>
  <c r="O93" i="3"/>
  <c r="O44" i="3"/>
  <c r="N95" i="3"/>
  <c r="O47" i="3"/>
  <c r="CI27" i="3" l="1"/>
  <c r="CI51" i="3"/>
  <c r="N29" i="3"/>
  <c r="CJ50" i="3"/>
  <c r="CI9" i="3"/>
  <c r="CI22" i="3"/>
  <c r="O55" i="3"/>
  <c r="O33" i="3"/>
  <c r="CJ19" i="3" s="1"/>
  <c r="N9" i="3"/>
  <c r="N36" i="3"/>
  <c r="O41" i="3"/>
  <c r="O4" i="3"/>
  <c r="O69" i="3"/>
  <c r="CI35" i="3"/>
  <c r="N72" i="3"/>
  <c r="CK21" i="3"/>
  <c r="O30" i="3"/>
  <c r="N32" i="3"/>
  <c r="CJ18" i="3" s="1"/>
  <c r="N7" i="3"/>
  <c r="O29" i="3"/>
  <c r="CI20" i="3" s="1"/>
  <c r="N49" i="3"/>
  <c r="N52" i="3"/>
  <c r="CK24" i="3"/>
  <c r="N54" i="3"/>
  <c r="CI44" i="3"/>
  <c r="N37" i="3"/>
  <c r="CI10" i="3"/>
  <c r="N8" i="3"/>
  <c r="CI6" i="3" s="1"/>
  <c r="CK22" i="3"/>
  <c r="CK41" i="3"/>
  <c r="O52" i="3"/>
  <c r="N97" i="3"/>
  <c r="O77" i="3"/>
  <c r="N80" i="3"/>
  <c r="N55" i="3"/>
  <c r="N81" i="3"/>
  <c r="N84" i="3"/>
  <c r="CI45" i="3"/>
  <c r="O5" i="3"/>
  <c r="N47" i="3"/>
  <c r="CK46" i="3"/>
  <c r="CI33" i="3"/>
  <c r="O53" i="3"/>
  <c r="O79" i="3"/>
  <c r="N6" i="3"/>
  <c r="N86" i="3"/>
  <c r="O32" i="3"/>
  <c r="CI21" i="3" s="1"/>
  <c r="CI12" i="3"/>
  <c r="CI43" i="3"/>
  <c r="N88" i="3"/>
  <c r="N30" i="3"/>
  <c r="CI25" i="3"/>
  <c r="CK6" i="3"/>
  <c r="CK18" i="3"/>
  <c r="CK43" i="3"/>
  <c r="CI18" i="3"/>
  <c r="CK25" i="3"/>
  <c r="N73" i="3"/>
  <c r="CI34" i="3"/>
  <c r="CI49" i="3"/>
  <c r="CI15" i="3"/>
  <c r="N15" i="3"/>
  <c r="CI37" i="3"/>
  <c r="CI11" i="3"/>
  <c r="O96" i="3"/>
  <c r="CJ53" i="3" s="1"/>
  <c r="CL53" i="3" s="1"/>
  <c r="CK34" i="3"/>
  <c r="CK8" i="3"/>
  <c r="CI39" i="3"/>
  <c r="CK30" i="3"/>
  <c r="N68" i="3"/>
  <c r="CK50" i="3"/>
  <c r="O40" i="3"/>
  <c r="O15" i="3"/>
  <c r="N65" i="3"/>
  <c r="O9" i="3"/>
  <c r="CI7" i="3" s="1"/>
  <c r="CI23" i="3"/>
  <c r="O36" i="3"/>
  <c r="CJ22" i="3" s="1"/>
  <c r="CK23" i="3"/>
  <c r="O61" i="3"/>
  <c r="CJ36" i="3" s="1"/>
  <c r="CL36" i="3" s="1"/>
  <c r="CI8" i="3"/>
  <c r="CI47" i="3"/>
  <c r="CK37" i="3"/>
  <c r="N13" i="3"/>
  <c r="O68" i="3"/>
  <c r="O57" i="3"/>
  <c r="O65" i="3"/>
  <c r="N40" i="3"/>
  <c r="O31" i="3"/>
  <c r="CJ21" i="3" s="1"/>
  <c r="N92" i="3"/>
  <c r="CK51" i="3" s="1"/>
  <c r="CK12" i="3"/>
  <c r="N77" i="3"/>
  <c r="CK44" i="3"/>
  <c r="CI19" i="3"/>
  <c r="CI50" i="3"/>
  <c r="O25" i="3"/>
  <c r="O37" i="3"/>
  <c r="CI24" i="3" s="1"/>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CK48" i="3"/>
  <c r="N85" i="3"/>
  <c r="N44" i="3"/>
  <c r="CK27" i="3" s="1"/>
  <c r="N12" i="3"/>
  <c r="O54" i="3"/>
  <c r="O89" i="3"/>
  <c r="CK47" i="3" s="1"/>
  <c r="O56" i="3"/>
  <c r="N24" i="3"/>
  <c r="O46" i="3"/>
  <c r="CI28" i="3"/>
  <c r="O21" i="3"/>
  <c r="CI16" i="3" s="1"/>
  <c r="N45" i="3"/>
  <c r="CK29" i="3" s="1"/>
  <c r="CK32" i="3"/>
  <c r="N16" i="3"/>
  <c r="CI48" i="3"/>
  <c r="CK26" i="3"/>
  <c r="CJ48" i="3"/>
  <c r="O20" i="3"/>
  <c r="CI14" i="3" s="1"/>
  <c r="N33" i="3"/>
  <c r="CK10" i="3"/>
  <c r="N69" i="3"/>
  <c r="O73" i="3"/>
  <c r="O60" i="3"/>
  <c r="O63" i="3"/>
  <c r="CI40" i="3"/>
  <c r="CK11" i="3"/>
  <c r="O70" i="3"/>
  <c r="CK17" i="3"/>
  <c r="N22" i="3"/>
  <c r="CK42" i="3"/>
  <c r="N78" i="3"/>
  <c r="O81" i="3"/>
  <c r="CI13" i="3"/>
  <c r="N14" i="3"/>
  <c r="CK13" i="3"/>
  <c r="N23" i="3"/>
  <c r="N20" i="3"/>
  <c r="O24" i="3"/>
  <c r="N17" i="3"/>
  <c r="O14" i="3"/>
  <c r="CK33" i="3"/>
  <c r="CK53" i="3"/>
  <c r="CK14" i="3"/>
  <c r="CK49" i="3"/>
  <c r="CK31" i="3"/>
  <c r="CL50" i="3" l="1"/>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4" i="3"/>
  <c r="R12" i="3"/>
  <c r="Q41" i="3"/>
  <c r="R89" i="3"/>
  <c r="R37" i="3"/>
  <c r="R78" i="3"/>
  <c r="Q17" i="3"/>
  <c r="R6" i="3"/>
  <c r="R86" i="3"/>
  <c r="R14" i="3"/>
  <c r="Q9" i="3"/>
  <c r="R29" i="3"/>
  <c r="R80" i="3" l="1"/>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30" i="3"/>
  <c r="CP53" i="3"/>
  <c r="CP45" i="3"/>
  <c r="CO22" i="3"/>
  <c r="CO30" i="3"/>
  <c r="CP47" i="3"/>
  <c r="CO47" i="3"/>
  <c r="CO12" i="3"/>
  <c r="CP23" i="3"/>
  <c r="CP49" i="3" l="1"/>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35" i="3"/>
  <c r="CQ49" i="3" l="1"/>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T41" i="3"/>
  <c r="U37" i="3"/>
  <c r="CT24" i="3" s="1"/>
  <c r="U57" i="3"/>
  <c r="U33" i="3" l="1"/>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CT25" i="3" s="1"/>
  <c r="T72" i="3"/>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c r="CT49" i="3"/>
  <c r="CT21" i="3" l="1"/>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N33" i="3" a="1"/>
  <c r="DN33" i="3" s="1"/>
  <c r="DL39" i="3"/>
  <c r="AU71" i="3" s="1"/>
  <c r="DL38" i="3"/>
  <c r="AU70" i="3" s="1"/>
  <c r="DL17" i="3"/>
  <c r="AU25" i="3" s="1"/>
  <c r="DM33" i="3"/>
  <c r="DN31" i="3" a="1"/>
  <c r="DN31" i="3" s="1"/>
  <c r="DN49" i="3" l="1"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9" i="3" l="1"/>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4" i="3" l="1"/>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2" i="3"/>
  <c r="AA132" i="3" s="1"/>
  <c r="D132" i="3" s="1"/>
  <c r="AG124" i="3"/>
  <c r="M131" i="3"/>
  <c r="AA131" i="3" s="1"/>
  <c r="D131" i="3" s="1"/>
  <c r="AG121"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l="1"/>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V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0" i="3" l="1"/>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<sst xmlns="http://schemas.openxmlformats.org/spreadsheetml/2006/main" count="6757" uniqueCount="1516">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</sst>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C6" sqref="C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40</v>
      </c>
      <c r="D8" s="298"/>
      <c r="E8" s="301"/>
      <c r="F8" s="301"/>
      <c r="G8" s="301"/>
      <c r="H8" s="301"/>
      <c r="I8" s="301"/>
      <c r="J8" s="301"/>
      <c r="K8" s="307" t="s">
        <v>1313</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t="str">
        <f>Idiomas!D45</f>
        <v>Nombre</v>
      </c>
      <c r="D10" s="298"/>
      <c r="E10" s="301"/>
      <c r="F10" s="301"/>
      <c r="G10" s="301"/>
      <c r="H10" s="301"/>
      <c r="I10" s="301"/>
      <c r="J10" s="301"/>
      <c r="K10" s="307" t="s">
        <v>1324</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30" t="str">
        <f>HYPERLINK(Idiomas!D10,Idiomas!D9)</f>
        <v>▼ Descargar Excel Administrador Porra ▼</v>
      </c>
      <c r="F17" s="631"/>
      <c r="G17" s="631"/>
      <c r="H17" s="631"/>
      <c r="I17" s="632"/>
      <c r="J17" s="301"/>
      <c r="K17" s="312" t="s">
        <v>1351</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1312</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1312</v>
      </c>
      <c r="C21" s="298"/>
      <c r="D21" s="298"/>
      <c r="E21" s="316" t="s">
        <v>1348</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1312</v>
      </c>
      <c r="C22" s="298"/>
      <c r="D22" s="298"/>
      <c r="E22" s="20" t="s">
        <v>1308</v>
      </c>
      <c r="F22" s="21" t="s">
        <v>1309</v>
      </c>
      <c r="G22" s="22" t="s">
        <v>1310</v>
      </c>
      <c r="H22" s="23" t="s">
        <v>13</v>
      </c>
      <c r="I22" s="317" t="s">
        <v>1311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1312</v>
      </c>
      <c r="C23" s="298"/>
      <c r="D23" s="298"/>
      <c r="E23" s="301"/>
      <c r="F23" s="301"/>
      <c r="G23" s="301"/>
      <c r="H23" s="301"/>
      <c r="I23" s="301"/>
      <c r="J23" s="301"/>
      <c r="K23" s="296" t="s">
        <v>1332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opLeftCell="V1" zoomScaleNormal="100" workbookViewId="0">
      <selection activeCell="AC4" sqref="AC4"/>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1351</v>
      </c>
      <c r="AW1" s="144"/>
      <c r="AX1" s="144"/>
      <c r="AY1" s="144"/>
      <c r="AZ1" s="144"/>
      <c r="BA1" s="176"/>
      <c r="DN1" s="16" t="s">
        <v>1358</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1234</v>
      </c>
      <c r="BA3" s="176"/>
    </row>
    <row r="4" spans="1:121" ht="16" customHeight="1" thickBot="1" x14ac:dyDescent="0.25">
      <c r="A4" s="16" t="s">
        <v>32</v>
      </c>
      <c r="B4" s="16" t="s">
        <v>0</v>
      </c>
      <c r="C4" s="16">
        <f>COUNTIF(Equipos!$C$2:$C$49,WORLDCUP!B4)</f>
        <v>4</v>
      </c>
      <c r="D4" s="16" t="str">
        <f t="shared" ref="D4:D9" si="0">IF(OR(AC4="",AD4=""),"Pendiente",IF(AC4&gt;AD4,"Local",IF(AC4&lt;AD4,"Visitante","Empate")))</f>
        <v>Pendiente</v>
      </c>
      <c r="E4" s="16" t="str">
        <f t="shared" ref="E4:E9" si="1">IF(D4="Pendiente","-",INDEX($BT$6:$BT$53,MATCH($AA4,$BD$6:$BD$53,0)))</f>
        <v>-</v>
      </c>
      <c r="F4" s="16" t="str">
        <f t="shared" ref="F4:F9" si="2">IF(D4="Pendiente","-",INDEX($BT$6:$BT$53,MATCH($AF4,$BD$6:$BD$53,0)))</f>
        <v>-</v>
      </c>
      <c r="G4" s="16"/>
      <c r="H4" s="16" t="str">
        <f t="shared" ref="H4:H9" si="3">IF(D4="Pendiente","-",INDEX($BZ$6:$BZ$53,MATCH($AA4,$BD$6:$BD$53,0)))</f>
        <v>-</v>
      </c>
      <c r="I4" s="16" t="str">
        <f t="shared" ref="I4:I9" si="4">IF(D4="Pendiente","-",INDEX($BZ$6:$BZ$53,MATCH($AF4,$BD$6:$BD$53,0)))</f>
        <v>-</v>
      </c>
      <c r="J4" s="16"/>
      <c r="K4" s="16" t="str">
        <f t="shared" ref="K4:K9" si="5">IF(D4="Pendiente","-",INDEX($CE$6:$CE$53,MATCH($AA4,$BD$6:$BD$53,0)))</f>
        <v>-</v>
      </c>
      <c r="L4" s="16" t="str">
        <f t="shared" ref="L4:L9" si="6">IF(D4="Pendiente","-",INDEX($CE$6:$CE$53,MATCH($AF4,$BD$6:$BD$53,0)))</f>
        <v>-</v>
      </c>
      <c r="M4" s="16"/>
      <c r="N4" s="16" t="str">
        <f t="shared" ref="N4:N9" si="7">IF(D4="Pendiente","-",INDEX($CH$6:$CH$53,MATCH($AA4,$BD$6:$BD$53,0)))</f>
        <v>-</v>
      </c>
      <c r="O4" s="16" t="str">
        <f t="shared" ref="O4:O9" si="8">IF(D4="Pendiente","-",INDEX($CH$6:$CH$53,MATCH($AF4,$BD$6:$BD$53,0)))</f>
        <v>-</v>
      </c>
      <c r="P4" s="16"/>
      <c r="Q4" s="16" t="str">
        <f t="shared" ref="Q4:Q9" si="9">IF(D4="Pendiente","-",INDEX($CN$6:$CN$53,MATCH($AA4,$BD$6:$BD$53,0)))</f>
        <v>-</v>
      </c>
      <c r="R4" s="16" t="str">
        <f t="shared" ref="R4:R9" si="10">IF(D4="Pendiente","-",INDEX($CN$6:$CN$53,MATCH($AF4,$BD$6:$BD$53,0)))</f>
        <v>-</v>
      </c>
      <c r="S4" s="16"/>
      <c r="T4" s="16" t="str">
        <f t="shared" ref="T4:T9" si="11">IF(D4="Pendiente","-",INDEX($CS$6:$CS$53,MATCH($AA4,$BD$6:$BD$53,0)))</f>
        <v>-</v>
      </c>
      <c r="U4" s="16" t="str">
        <f t="shared" ref="U4:U9"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v>
      </c>
      <c r="AC4" s="50"/>
      <c r="AD4" s="51"/>
      <c r="AE4" s="595" t="str" cm="1">
        <f t="array" aca="1" ref="AE4" ca="1">Ver_flag_visit</f>
        <v>🇿🇦</v>
      </c>
      <c r="AF4" s="32" t="str">
        <f ca="1">A6</f>
        <v>Sudáfrica</v>
      </c>
      <c r="AG4" s="323">
        <f t="shared" ref="AG4:AG9" si="13">IF(NOT(OR(ISBLANK(AC4),ISBLANK(AD4))),1,0)</f>
        <v>0</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1498</v>
      </c>
    </row>
    <row r="5" spans="1:121" ht="16" customHeight="1" x14ac:dyDescent="0.2">
      <c r="A5" s="16" t="str">
        <f ca="1">+Equipos!B2</f>
        <v>México</v>
      </c>
      <c r="B5" s="16"/>
      <c r="C5" s="16"/>
      <c r="D5" s="16" t="str">
        <f t="shared" si="0"/>
        <v>Pendiente</v>
      </c>
      <c r="E5" s="16" t="str">
        <f t="shared" si="1"/>
        <v>-</v>
      </c>
      <c r="F5" s="16" t="str">
        <f t="shared" si="2"/>
        <v>-</v>
      </c>
      <c r="G5" s="16"/>
      <c r="H5" s="16" t="str">
        <f t="shared" si="3"/>
        <v>-</v>
      </c>
      <c r="I5" s="16" t="str">
        <f t="shared" si="4"/>
        <v>-</v>
      </c>
      <c r="J5" s="16"/>
      <c r="K5" s="16" t="str">
        <f t="shared" si="5"/>
        <v>-</v>
      </c>
      <c r="L5" s="16" t="str">
        <f t="shared" si="6"/>
        <v>-</v>
      </c>
      <c r="M5" s="16"/>
      <c r="N5" s="16" t="str">
        <f t="shared" si="7"/>
        <v>-</v>
      </c>
      <c r="O5" s="16" t="str">
        <f t="shared" si="8"/>
        <v>-</v>
      </c>
      <c r="P5" s="16"/>
      <c r="Q5" s="16" t="str">
        <f t="shared" si="9"/>
        <v>-</v>
      </c>
      <c r="R5" s="16" t="str">
        <f t="shared" si="10"/>
        <v>-</v>
      </c>
      <c r="S5" s="16"/>
      <c r="T5" s="16" t="str">
        <f t="shared" si="11"/>
        <v>-</v>
      </c>
      <c r="U5" s="16" t="str">
        <f t="shared" si="12"/>
        <v>-</v>
      </c>
      <c r="V5" s="17"/>
      <c r="W5" s="668"/>
      <c r="X5" s="24">
        <f ca="1">Horarios!C5</f>
        <v>46185.166666666664</v>
      </c>
      <c r="Y5" s="25">
        <f ca="1">Horarios!C5</f>
        <v>46185.166666666664</v>
      </c>
      <c r="Z5" s="26" t="str">
        <f>$Z$4</f>
        <v>J1</v>
      </c>
      <c r="AA5" s="27" t="str">
        <f ca="1">A7</f>
        <v>Corea del Sur</v>
      </c>
      <c r="AB5" s="49" t="str" cm="1">
        <f t="array" aca="1" ref="AB5" ca="1">Ver_flag_local</f>
        <v>🇰🇷</v>
      </c>
      <c r="AC5" s="50"/>
      <c r="AD5" s="51"/>
      <c r="AE5" s="595" t="str" cm="1">
        <f t="array" aca="1" ref="AE5" ca="1">Ver_flag_visit</f>
        <v>🇨🇿</v>
      </c>
      <c r="AF5" s="32" t="str">
        <f ca="1">A8</f>
        <v>República Checa</v>
      </c>
      <c r="AG5" s="323">
        <f t="shared" si="13"/>
        <v>0</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x14ac:dyDescent="0.2">
      <c r="A6" s="16" t="str">
        <f ca="1">+Equipos!B3</f>
        <v>Sudáfrica</v>
      </c>
      <c r="B6" s="16"/>
      <c r="C6" s="16"/>
      <c r="D6" s="16" t="str">
        <f t="shared" si="0"/>
        <v>Pendiente</v>
      </c>
      <c r="E6" s="16" t="str">
        <f t="shared" si="1"/>
        <v>-</v>
      </c>
      <c r="F6" s="16" t="str">
        <f t="shared" si="2"/>
        <v>-</v>
      </c>
      <c r="G6" s="16"/>
      <c r="H6" s="16" t="str">
        <f t="shared" si="3"/>
        <v>-</v>
      </c>
      <c r="I6" s="16" t="str">
        <f t="shared" si="4"/>
        <v>-</v>
      </c>
      <c r="J6" s="16"/>
      <c r="K6" s="16" t="str">
        <f t="shared" si="5"/>
        <v>-</v>
      </c>
      <c r="L6" s="16" t="str">
        <f t="shared" si="6"/>
        <v>-</v>
      </c>
      <c r="M6" s="16"/>
      <c r="N6" s="16" t="str">
        <f t="shared" si="7"/>
        <v>-</v>
      </c>
      <c r="O6" s="16" t="str">
        <f t="shared" si="8"/>
        <v>-</v>
      </c>
      <c r="P6" s="16"/>
      <c r="Q6" s="16" t="str">
        <f t="shared" si="9"/>
        <v>-</v>
      </c>
      <c r="R6" s="16" t="str">
        <f t="shared" si="10"/>
        <v>-</v>
      </c>
      <c r="S6" s="16"/>
      <c r="T6" s="16" t="str">
        <f t="shared" si="11"/>
        <v>-</v>
      </c>
      <c r="U6" s="16" t="str">
        <f t="shared" si="12"/>
        <v>-</v>
      </c>
      <c r="V6" s="17"/>
      <c r="W6" s="668"/>
      <c r="X6" s="24">
        <f ca="1">Horarios!C6</f>
        <v>46191.75</v>
      </c>
      <c r="Y6" s="25">
        <f ca="1">Horarios!C6</f>
        <v>46191.75</v>
      </c>
      <c r="Z6" s="26" t="str">
        <f>Idiomas!D62</f>
        <v>J2</v>
      </c>
      <c r="AA6" s="27" t="str">
        <f ca="1">A8</f>
        <v>República Checa</v>
      </c>
      <c r="AB6" s="49" t="str" cm="1">
        <f t="array" aca="1" ref="AB6" ca="1">Ver_flag_local</f>
        <v>🇨🇿</v>
      </c>
      <c r="AC6" s="50"/>
      <c r="AD6" s="51"/>
      <c r="AE6" s="595" t="str" cm="1">
        <f t="array" aca="1" ref="AE6" ca="1">Ver_flag_visit</f>
        <v>🇿🇦</v>
      </c>
      <c r="AF6" s="32" t="str">
        <f ca="1">A6</f>
        <v>Sudáfrica</v>
      </c>
      <c r="AG6" s="323">
        <f t="shared" si="13"/>
        <v>0</v>
      </c>
      <c r="AH6" s="195">
        <v>25</v>
      </c>
      <c r="AI6" s="181" t="str">
        <f>AJ6&amp;$B$4</f>
        <v>1A</v>
      </c>
      <c r="AJ6" s="40">
        <v>1</v>
      </c>
      <c r="AK6" s="597" t="str" cm="1">
        <f t="array" aca="1" ref="AK6" ca="1">Ver_flag_visit</f>
        <v>🇲🇽</v>
      </c>
      <c r="AL6" s="34" t="str">
        <f ca="1">IFERROR(INDEX($BD$6:$BD$53,MATCH(AI6,$BN$6:$BN$53,0)),"")</f>
        <v>México</v>
      </c>
      <c r="AM6" s="35">
        <f t="shared" ref="AM6:AT9" ca="1" si="15">INDEX($BE$6:$BN$53,MATCH($AL6,$BD$6:$BD$53,0),MATCH(AM$5,$BE$5:$BN$5,0))</f>
        <v>0</v>
      </c>
      <c r="AN6" s="36">
        <f t="shared" ca="1" si="15"/>
        <v>0</v>
      </c>
      <c r="AO6" s="36">
        <f t="shared" ca="1" si="15"/>
        <v>0</v>
      </c>
      <c r="AP6" s="36">
        <f t="shared" ca="1" si="15"/>
        <v>0</v>
      </c>
      <c r="AQ6" s="36">
        <f t="shared" ca="1" si="15"/>
        <v>0</v>
      </c>
      <c r="AR6" s="36">
        <f t="shared" ca="1" si="15"/>
        <v>0</v>
      </c>
      <c r="AS6" s="36">
        <f t="shared" ca="1" si="15"/>
        <v>0</v>
      </c>
      <c r="AT6" s="41">
        <f t="shared" ca="1" si="15"/>
        <v>0</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0</v>
      </c>
      <c r="BF6" s="16">
        <f ca="1">+BG6+BH6+BI6</f>
        <v>0</v>
      </c>
      <c r="BG6" s="16">
        <f t="shared" ref="BG6:BG53" ca="1" si="17">+COUNTIFS(FGLocal,BD6,Ganador,"Local")+COUNTIFS(FGVisitante,BD6,Ganador,"Visitante")</f>
        <v>0</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0</v>
      </c>
      <c r="BK6" s="16">
        <f t="shared" ref="BK6:BK53" ca="1" si="21">+SUMIFS(FG_GolesLocal,FGVisitante,BD6,Ganador,"&lt;&gt;"&amp;"Pendiente",FG_GolesLocal,"&lt;&gt;"&amp;"",FG_GolesVisitante,"&lt;&gt;"&amp;"")+SUMIFS(FG_GolesVisitante,FGLocal,BD6,Ganador,"&lt;&gt;"&amp;"Pendiente",FG_GolesLocal,"&lt;&gt;"&amp;"",FG_GolesVisitante,"&lt;&gt;"&amp;"")</f>
        <v>0</v>
      </c>
      <c r="BL6" s="16">
        <f ca="1">+BJ6-BK6</f>
        <v>0</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0</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(4)</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0</v>
      </c>
      <c r="BW6" s="16">
        <f t="shared" ref="BW6:BW53" ca="1" si="26">IF($BT6="-","-",COUNTIFS(FGLocal,$BD6,Ganador,"Visitante",Part1Empate1V,$BT6)+COUNTIFS(FGVisitante,$BD6,Ganador,"Local",Part1Empate1L,$BT6))</f>
        <v>0</v>
      </c>
      <c r="BX6" s="16">
        <f ca="1">IF($BT6="-","-",BU6*3+BV6)</f>
        <v>0</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(4)</v>
      </c>
      <c r="CA6" s="16">
        <f t="shared" ref="CA6:CA53" ca="1" si="27">IF($BZ6="-","-",SUMIFS(FG_GolesLocal,FGLocal,$BD6,Part1Empate2V,$BZ6)+SUMIFS(FG_GolesVisitante,FGVisitante,$BD6,Part1Empate2L,$BZ6))</f>
        <v>0</v>
      </c>
      <c r="CB6" s="16">
        <f t="shared" ref="CB6:CB53" ca="1" si="28">IF($BZ6="-","-",SUMIFS(FG_GolesVisitante,FGLocal,$BD6,Part1Empate2V,$BZ6)+SUMIFS(FG_GolesLocal,FGVisitante,$BD6,Part1Empate2L,$BZ6))</f>
        <v>0</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(4)</v>
      </c>
      <c r="CF6" s="16">
        <f t="shared" ref="CF6:CF53" ca="1" si="29">IF($CE6="-","-",SUMIFS(FG_GolesLocal,FGLocal,$BD6,Part1Empate3V,$CE6)+SUMIFS(FG_GolesVisitante,FGVisitante,$BD6,Part1Empate3L,$CE6))</f>
        <v>0</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(4)</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0</v>
      </c>
      <c r="CK6" s="16">
        <f t="shared" ref="CK6:CK53" ca="1" si="32">IF($CH6="-","-",COUNTIFS(FGLocal,$BD6,Ganador,"Visitante",Part2Empate4V,$CH6)+COUNTIFS(FGVisitante,$BD6,Ganador,"Local",Part2Empate4L,$CH6))</f>
        <v>0</v>
      </c>
      <c r="CL6" s="16">
        <f ca="1">IF($CH6="-","-",CI6*3+CJ6)</f>
        <v>0</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(4)</v>
      </c>
      <c r="CO6" s="16">
        <f t="shared" ref="CO6:CO53" ca="1" si="33">IF($CN6="-","-",SUMIFS(FG_GolesLocal,FGLocal,$BD6,Part2Empate5V,$CN6)+SUMIFS(FG_GolesVisitante,FGVisitante,$BD6,Part2Empate5L,$CN6))</f>
        <v>0</v>
      </c>
      <c r="CP6" s="16">
        <f t="shared" ref="CP6:CP53" ca="1" si="34">IF($CN6="-","-",SUMIFS(FG_GolesVisitante,FGLocal,$BD6,Part2Empate5V,$CN6)+SUMIFS(FG_GolesLocal,FGVisitante,$BD6,Part2Empate5L,$CN6))</f>
        <v>0</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(4)</v>
      </c>
      <c r="CT6" s="16">
        <f t="shared" ref="CT6:CT53" ca="1" si="35">IF($CS6="-","-",SUMIFS(FG_GolesLocal,FGLocal,$BD6,Part2Empate6V,$CS6)+SUMIFS(FG_GolesVisitante,FGVisitante,$BD6,Part2Empate6L,$CS6))</f>
        <v>0</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(4)</v>
      </c>
      <c r="CW6" s="16">
        <f t="shared" ref="CW6:CW53" ca="1" si="36">IF(CV6="-","-",BL6)</f>
        <v>0</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P.1 (4)</v>
      </c>
      <c r="CZ6" s="16">
        <f t="shared" ref="CZ6:CZ53" ca="1" si="37">IF(CY6="-","-",BJ6)</f>
        <v>0</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P.1 (4)</v>
      </c>
      <c r="DC6" s="16">
        <f ca="1">IF(DB6="-","-",COUNTIFS(T_Equipos[Rank],"&lt;"&amp;INDEX(T_Equipos[Rank],MATCH(BD6,T_Equipos[NombreEquipo],0)),$BC$6:$BC$53,INDEX(T_Equipos[Grupo],MATCH(BD6,T_Equipos[NombreEquipo],0)))+1)</f>
        <v>1</v>
      </c>
      <c r="DD6" s="16">
        <f ca="1">DA6+COUNTIFS($DB$6:$DB$53,DB6,$DC$6:DC$53,"&lt;"&amp;DC6,$BC$6:$BC$53,INDEX(T_Equipos[Grupo],MATCH(BD6,T_Equipos[NombreEquipo],0)))</f>
        <v>1</v>
      </c>
      <c r="DE6" s="16"/>
      <c r="DF6" s="16">
        <f ca="1">IF(OR(INDEX($AW$6:$AW$97,MATCH($BD6,$AV$6:$AV$97,0))="",DB6="-"),DD6,INDEX($AW$6:$AW$97,MATCH($BD6,$AV$6:$AV$97,0))+DD6/1000)</f>
        <v>1</v>
      </c>
      <c r="DG6" s="16">
        <f ca="1">IF(DB6="-","-",COUNTIFS(DF$6:DF$53,"&lt;"&amp;DF6,$BC$6:$BC$53,INDEX(T_Equipos[Grupo],MATCH(BD6,T_Equipos[NombreEquipo],0))))</f>
        <v>0</v>
      </c>
      <c r="DH6" s="16">
        <f ca="1">DA6+COUNTIFS(DB$6:DB$53,DB6,DG$6:DG$53,"&lt;"&amp;DG6,$BC$6:$BC$53,INDEX(T_Equipos[Grupo],MATCH(BD6,T_Equipos[NombreEquipo],0)))</f>
        <v>1</v>
      </c>
      <c r="DI6" s="16"/>
      <c r="DJ6" s="16">
        <f t="shared" ref="DJ6:DJ53" ca="1" si="38">INDEX($DA$6:$DA$53,MATCH($DQ6,$BD$6:$BD$53,0))</f>
        <v>1</v>
      </c>
      <c r="DK6" s="16">
        <f t="shared" ref="DK6:DK53" ca="1" si="39">+SUMIF($BC$6:$BC$53,BC6,$BF$6:$BF$53)</f>
        <v>0</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 customHeight="1" x14ac:dyDescent="0.2">
      <c r="A7" s="16" t="str">
        <f ca="1">+Equipos!B4</f>
        <v>Corea del Sur</v>
      </c>
      <c r="B7" s="16"/>
      <c r="C7" s="16"/>
      <c r="D7" s="16" t="str">
        <f t="shared" si="0"/>
        <v>Pendiente</v>
      </c>
      <c r="E7" s="16" t="str">
        <f t="shared" si="1"/>
        <v>-</v>
      </c>
      <c r="F7" s="16" t="str">
        <f t="shared" si="2"/>
        <v>-</v>
      </c>
      <c r="G7" s="16"/>
      <c r="H7" s="16" t="str">
        <f t="shared" si="3"/>
        <v>-</v>
      </c>
      <c r="I7" s="16" t="str">
        <f t="shared" si="4"/>
        <v>-</v>
      </c>
      <c r="J7" s="16"/>
      <c r="K7" s="16" t="str">
        <f t="shared" si="5"/>
        <v>-</v>
      </c>
      <c r="L7" s="16" t="str">
        <f t="shared" si="6"/>
        <v>-</v>
      </c>
      <c r="M7" s="16"/>
      <c r="N7" s="16" t="str">
        <f t="shared" si="7"/>
        <v>-</v>
      </c>
      <c r="O7" s="16" t="str">
        <f t="shared" si="8"/>
        <v>-</v>
      </c>
      <c r="P7" s="16"/>
      <c r="Q7" s="16" t="str">
        <f t="shared" si="9"/>
        <v>-</v>
      </c>
      <c r="R7" s="16" t="str">
        <f t="shared" si="10"/>
        <v>-</v>
      </c>
      <c r="S7" s="16"/>
      <c r="T7" s="16" t="str">
        <f t="shared" si="11"/>
        <v>-</v>
      </c>
      <c r="U7" s="16" t="str">
        <f t="shared" si="12"/>
        <v>-</v>
      </c>
      <c r="V7" s="17"/>
      <c r="W7" s="668"/>
      <c r="X7" s="24">
        <f ca="1">Horarios!C7</f>
        <v>46192.125</v>
      </c>
      <c r="Y7" s="25">
        <f ca="1">Horarios!C7</f>
        <v>46192.125</v>
      </c>
      <c r="Z7" s="26" t="str">
        <f>$Z$6</f>
        <v>J2</v>
      </c>
      <c r="AA7" s="27" t="str">
        <f ca="1">A5</f>
        <v>México</v>
      </c>
      <c r="AB7" s="49" t="str" cm="1">
        <f t="array" aca="1" ref="AB7" ca="1">Ver_flag_local</f>
        <v>🇲🇽</v>
      </c>
      <c r="AC7" s="50"/>
      <c r="AD7" s="51"/>
      <c r="AE7" s="595" t="str" cm="1">
        <f t="array" aca="1" ref="AE7" ca="1">Ver_flag_visit</f>
        <v>🇰🇷</v>
      </c>
      <c r="AF7" s="32" t="str">
        <f ca="1">A7</f>
        <v>Corea del Sur</v>
      </c>
      <c r="AG7" s="323">
        <f t="shared" si="13"/>
        <v>0</v>
      </c>
      <c r="AH7" s="195">
        <v>28</v>
      </c>
      <c r="AI7" s="181" t="str">
        <f>AJ7&amp;$B$4</f>
        <v>2A</v>
      </c>
      <c r="AJ7" s="42">
        <v>2</v>
      </c>
      <c r="AK7" s="598" t="str" cm="1">
        <f t="array" aca="1" ref="AK7" ca="1">Ver_flag_visit</f>
        <v>🇿🇦</v>
      </c>
      <c r="AL7" s="37" t="str">
        <f ca="1">IFERROR(INDEX($BD$6:$BD$53,MATCH(AI7,$BN$6:$BN$53,0)),"")</f>
        <v>Sudáfrica</v>
      </c>
      <c r="AM7" s="38">
        <f t="shared" ca="1" si="15"/>
        <v>0</v>
      </c>
      <c r="AN7" s="39">
        <f t="shared" ca="1" si="15"/>
        <v>0</v>
      </c>
      <c r="AO7" s="39">
        <f t="shared" ca="1" si="15"/>
        <v>0</v>
      </c>
      <c r="AP7" s="39">
        <f t="shared" ca="1" si="15"/>
        <v>0</v>
      </c>
      <c r="AQ7" s="39">
        <f t="shared" ca="1" si="15"/>
        <v>0</v>
      </c>
      <c r="AR7" s="39">
        <f t="shared" ca="1" si="15"/>
        <v>0</v>
      </c>
      <c r="AS7" s="39">
        <f t="shared" ca="1" si="15"/>
        <v>0</v>
      </c>
      <c r="AT7" s="43">
        <f t="shared" ca="1" si="15"/>
        <v>0</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0</v>
      </c>
      <c r="BG7" s="16">
        <f t="shared" ca="1" si="17"/>
        <v>0</v>
      </c>
      <c r="BH7" s="16">
        <f t="shared" ca="1" si="18"/>
        <v>0</v>
      </c>
      <c r="BI7" s="16">
        <f t="shared" ca="1" si="19"/>
        <v>0</v>
      </c>
      <c r="BJ7" s="16">
        <f t="shared" ca="1" si="20"/>
        <v>0</v>
      </c>
      <c r="BK7" s="16">
        <f t="shared" ca="1" si="21"/>
        <v>0</v>
      </c>
      <c r="BL7" s="16">
        <f t="shared" ref="BL7:BL53" ca="1" si="42">+BJ7-BK7</f>
        <v>0</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1</v>
      </c>
      <c r="BT7" s="16" t="str">
        <f ca="1">IF(COUNTIFS($BS$6:$BS$53,BS7,$BC$6:$BC$53,INDEX(T_Equipos[Grupo],MATCH(BD7,T_Equipos[NombreEquipo],0)))=1,"-","P."&amp;BS7&amp;" ("&amp;COUNTIFS($BS$6:$BS$53,BS7,$BC$6:$BC$53,INDEX(T_Equipos[Grupo],MATCH(BD7,T_Equipos[NombreEquipo],0)))&amp;")")</f>
        <v>P.1 (4)</v>
      </c>
      <c r="BU7" s="16">
        <f t="shared" ca="1" si="24"/>
        <v>0</v>
      </c>
      <c r="BV7" s="16">
        <f t="shared" ca="1" si="25"/>
        <v>0</v>
      </c>
      <c r="BW7" s="16">
        <f t="shared" ca="1" si="26"/>
        <v>0</v>
      </c>
      <c r="BX7" s="16">
        <f ca="1">IF($BT7="-","-",BU7*3+BV7)</f>
        <v>0</v>
      </c>
      <c r="BY7" s="16">
        <f ca="1">BS7+COUNTIFS($BT$6:$BT$53,BT7,$BX$6:BX$53,"&gt;"&amp;BX7,$BC$6:$BC$53,INDEX(T_Equipos[Grupo],MATCH(BD7,T_Equipos[NombreEquipo],0)))</f>
        <v>1</v>
      </c>
      <c r="BZ7" s="16" t="str">
        <f ca="1">IF(COUNTIFS($BY$6:$BY$53,BY7,$BC$6:$BC$53,INDEX(T_Equipos[Grupo],MATCH(BD7,T_Equipos[NombreEquipo],0)))=1,"-","P."&amp;BY7&amp;" ("&amp;COUNTIFS($BY$6:$BY$53,BY7,$BC$6:$BC$53,INDEX(T_Equipos[Grupo],MATCH(BD7,T_Equipos[NombreEquipo],0)))&amp;")")</f>
        <v>P.1 (4)</v>
      </c>
      <c r="CA7" s="16">
        <f t="shared" ca="1" si="27"/>
        <v>0</v>
      </c>
      <c r="CB7" s="16">
        <f t="shared" ca="1" si="28"/>
        <v>0</v>
      </c>
      <c r="CC7" s="16">
        <f ca="1">IF($BZ7="-","-",CA7-CB7)</f>
        <v>0</v>
      </c>
      <c r="CD7" s="16">
        <f ca="1">BY7+COUNTIFS($BZ$6:$BZ$53,BZ7,$CC$6:CC$53,"&gt;"&amp;CC7,$BC$6:$BC$53,INDEX(T_Equipos[Grupo],MATCH(BD7,T_Equipos[NombreEquipo],0)))</f>
        <v>1</v>
      </c>
      <c r="CE7" s="16" t="str">
        <f ca="1">IF(COUNTIFS($CD$6:$CD$53,CD7,$BC$6:$BC$53,INDEX(T_Equipos[Grupo],MATCH(BD7,T_Equipos[NombreEquipo],0)))=1,"-","P."&amp;CD7&amp;" ("&amp;COUNTIFS($CD$6:$CD$53,CD7,$BC$6:$BC$53,INDEX(T_Equipos[Grupo],MATCH(BD7,T_Equipos[NombreEquipo],0)))&amp;")")</f>
        <v>P.1 (4)</v>
      </c>
      <c r="CF7" s="16">
        <f t="shared" ca="1" si="29"/>
        <v>0</v>
      </c>
      <c r="CG7" s="16">
        <f ca="1">CD7+COUNTIFS($CE$6:$CE$53,CE7,$CF$6:CF$53,"&gt;"&amp;CF7,$BC$6:$BC$53,INDEX(T_Equipos[Grupo],MATCH(BD7,T_Equipos[NombreEquipo],0)))</f>
        <v>1</v>
      </c>
      <c r="CH7" s="16" t="str">
        <f ca="1">IF(COUNTIFS($CG$6:$CG$53,CG7,$BC$6:$BC$53,INDEX(T_Equipos[Grupo],MATCH(BD7,T_Equipos[NombreEquipo],0)))=1,"-","P."&amp;CG7&amp;" ("&amp;COUNTIFS($CG$6:$CG$53,CG7,$BC$6:$BC$53,INDEX(T_Equipos[Grupo],MATCH(BD7,T_Equipos[NombreEquipo],0)))&amp;")")</f>
        <v>P.1 (4)</v>
      </c>
      <c r="CI7" s="16">
        <f t="shared" ca="1" si="30"/>
        <v>0</v>
      </c>
      <c r="CJ7" s="16">
        <f t="shared" ca="1" si="31"/>
        <v>0</v>
      </c>
      <c r="CK7" s="16">
        <f t="shared" ca="1" si="32"/>
        <v>0</v>
      </c>
      <c r="CL7" s="16">
        <f ca="1">IF($CH7="-","-",CI7*3+CJ7)</f>
        <v>0</v>
      </c>
      <c r="CM7" s="16">
        <f ca="1">CG7+COUNTIFS($CH$6:$CH$53,CH7,$CL$6:CL$53,"&gt;"&amp;CL7,$BC$6:$BC$53,INDEX(T_Equipos[Grupo],MATCH(BD7,T_Equipos[NombreEquipo],0)))</f>
        <v>1</v>
      </c>
      <c r="CN7" s="16" t="str">
        <f ca="1">IF(COUNTIFS($CM$6:$CM$53,CM7,$BC$6:$BC$53,INDEX(T_Equipos[Grupo],MATCH(BD7,T_Equipos[NombreEquipo],0)))=1,"-","P."&amp;CM7&amp;" ("&amp;COUNTIFS($CM$6:$CM$53,CM7,$BC$6:$BC$53,INDEX(T_Equipos[Grupo],MATCH(BD7,T_Equipos[NombreEquipo],0)))&amp;")")</f>
        <v>P.1 (4)</v>
      </c>
      <c r="CO7" s="16">
        <f t="shared" ca="1" si="33"/>
        <v>0</v>
      </c>
      <c r="CP7" s="16">
        <f t="shared" ca="1" si="34"/>
        <v>0</v>
      </c>
      <c r="CQ7" s="16">
        <f ca="1">IF($CN7="-","-",CO7-CP7)</f>
        <v>0</v>
      </c>
      <c r="CR7" s="16">
        <f ca="1">CM7+COUNTIFS($CN$6:$CN$53,CN7,$CQ$6:CQ$53,"&gt;"&amp;CQ7,$BC$6:$BC$53,INDEX(T_Equipos[Grupo],MATCH(BD7,T_Equipos[NombreEquipo],0)))</f>
        <v>1</v>
      </c>
      <c r="CS7" s="16" t="str">
        <f ca="1">IF(COUNTIFS($CR$6:$CR$53,CR7,$BC$6:$BC$53,INDEX(T_Equipos[Grupo],MATCH(BD7,T_Equipos[NombreEquipo],0)))=1,"-","P."&amp;CR7&amp;" ("&amp;COUNTIFS($CR$6:$CR$53,CR7,$BC$6:$BC$53,INDEX(T_Equipos[Grupo],MATCH(BD7,T_Equipos[NombreEquipo],0)))&amp;")")</f>
        <v>P.1 (4)</v>
      </c>
      <c r="CT7" s="16">
        <f t="shared" ca="1" si="35"/>
        <v>0</v>
      </c>
      <c r="CU7" s="16">
        <f ca="1">CR7+COUNTIFS($CS$6:$CS$53,CS7,$CT$6:CT$53,"&gt;"&amp;CT7,$BC$6:$BC$53,INDEX(T_Equipos[Grupo],MATCH(BD7,T_Equipos[NombreEquipo],0)))</f>
        <v>1</v>
      </c>
      <c r="CV7" s="16" t="str">
        <f ca="1">IF(COUNTIFS($CU$6:$CU$53,CU7,$BC$6:$BC$53,INDEX(T_Equipos[Grupo],MATCH(BD7,T_Equipos[NombreEquipo],0)))=1,"-","P."&amp;CU7&amp;" ("&amp;COUNTIFS($CU$6:$CU$53,CU7,$BC$6:$BC$53,INDEX(T_Equipos[Grupo],MATCH(BD7,T_Equipos[NombreEquipo],0)))&amp;")")</f>
        <v>P.1 (4)</v>
      </c>
      <c r="CW7" s="16">
        <f t="shared" ca="1" si="36"/>
        <v>0</v>
      </c>
      <c r="CX7" s="16">
        <f ca="1">CU7+COUNTIFS($CV$6:$CV$53,CV7,$CW$6:CW$53,"&gt;"&amp;CW7,$BC$6:$BC$53,INDEX(T_Equipos[Grupo],MATCH(BD7,T_Equipos[NombreEquipo],0)))</f>
        <v>1</v>
      </c>
      <c r="CY7" s="16" t="str">
        <f ca="1">IF(COUNTIFS($CX$6:$CX$53,CX7,$BC$6:$BC$53,INDEX(T_Equipos[Grupo],MATCH(BD7,T_Equipos[NombreEquipo],0)))=1,"-","P."&amp;CX7&amp;" ("&amp;COUNTIFS($CX$6:$CX$53,CX7,$BC$6:$BC$53,INDEX(T_Equipos[Grupo],MATCH(BD7,T_Equipos[NombreEquipo],0)))&amp;")")</f>
        <v>P.1 (4)</v>
      </c>
      <c r="CZ7" s="16">
        <f t="shared" ca="1" si="37"/>
        <v>0</v>
      </c>
      <c r="DA7" s="16">
        <f ca="1">CX7+COUNTIFS($CY$6:$CY$53,CY7,$CZ$6:CZ$53,"&gt;"&amp;CZ7,$BC$6:$BC$53,INDEX(T_Equipos[Grupo],MATCH(BD7,T_Equipos[NombreEquipo],0)))</f>
        <v>1</v>
      </c>
      <c r="DB7" s="16" t="str">
        <f ca="1">IF(COUNTIFS($DA$6:$DA$53,DA7,$BC$6:$BC$53,INDEX(T_Equipos[Grupo],MATCH(BD7,T_Equipos[NombreEquipo],0)))=1,"-","P."&amp;DA7&amp;" ("&amp;COUNTIFS($DA$6:$DA$53,DA7,$BC$6:$BC$53,INDEX(T_Equipos[Grupo],MATCH(BD7,T_Equipos[NombreEquipo],0)))&amp;")")</f>
        <v>P.1 (4)</v>
      </c>
      <c r="DC7" s="16">
        <f ca="1">IF(DB7="-","-",COUNTIFS(T_Equipos[Rank],"&lt;"&amp;INDEX(T_Equipos[Rank],MATCH(BD7,T_Equipos[NombreEquipo],0)),$BC$6:$BC$53,INDEX(T_Equipos[Grupo],MATCH(BD7,T_Equipos[NombreEquipo],0)))+1)</f>
        <v>2</v>
      </c>
      <c r="DD7" s="16">
        <f ca="1">DA7+COUNTIFS($DB$6:$DB$53,DB7,$DC$6:DC$53,"&lt;"&amp;DC7,$BC$6:$BC$53,INDEX(T_Equipos[Grupo],MATCH(BD7,T_Equipos[NombreEquipo],0)))</f>
        <v>2</v>
      </c>
      <c r="DE7" s="16"/>
      <c r="DF7" s="16">
        <f t="shared" ref="DF7:DF9" ca="1" si="45">IF(OR(INDEX($AW$6:$AW$97,MATCH($BD7,$AV$6:$AV$97,0))="",DB7="-"),DD7,INDEX($AW$6:$AW$97,MATCH($BD7,$AV$6:$AV$97,0))+DD7/1000)</f>
        <v>2</v>
      </c>
      <c r="DG7" s="16">
        <f ca="1">IF(DB7="-","-",COUNTIFS(DF$6:DF$53,"&lt;"&amp;DF7,$BC$6:$BC$53,INDEX(T_Equipos[Grupo],MATCH(BD7,T_Equipos[NombreEquipo],0))))</f>
        <v>1</v>
      </c>
      <c r="DH7" s="16">
        <f ca="1">DA7+COUNTIFS(DB$6:DB$53,DB7,DG$6:DG$53,"&lt;"&amp;DG7,$BC$6:$BC$53,INDEX(T_Equipos[Grupo],MATCH(BD7,T_Equipos[NombreEquipo],0)))</f>
        <v>2</v>
      </c>
      <c r="DI7" s="16"/>
      <c r="DJ7" s="16">
        <f t="shared" ca="1" si="38"/>
        <v>1</v>
      </c>
      <c r="DK7" s="16">
        <f t="shared" ca="1" si="39"/>
        <v>0</v>
      </c>
      <c r="DL7" s="16">
        <f t="shared" ca="1" si="40"/>
        <v>1</v>
      </c>
      <c r="DM7" s="16" t="str">
        <f t="shared" ref="DM7:DM53" ca="1" si="46">DJ7&amp;"."&amp;DL7</f>
        <v>1.1</v>
      </c>
      <c r="DN7" s="16" cm="1">
        <f t="array" aca="1" ref="DN7" ca="1">OFFSET(Horarios!$P$3,DJ7-1,0,DL7,1)</f>
        <v>1</v>
      </c>
      <c r="DO7" s="16"/>
      <c r="DP7" s="16" t="s">
        <v>658</v>
      </c>
      <c r="DQ7" s="16" t="str">
        <f t="shared" ref="DQ7:DQ53" ca="1" si="47">INDEX($BD$6:$BD$53,MATCH(DP7,$BM$6:$BM$53,0))</f>
        <v>Sudáfrica</v>
      </c>
    </row>
    <row r="8" spans="1:121" ht="16" customHeight="1" x14ac:dyDescent="0.2">
      <c r="A8" s="16" t="str">
        <f ca="1">+Equipos!B5</f>
        <v>República Checa</v>
      </c>
      <c r="B8" s="16"/>
      <c r="C8" s="16"/>
      <c r="D8" s="16" t="str">
        <f t="shared" si="0"/>
        <v>Pendiente</v>
      </c>
      <c r="E8" s="16" t="str">
        <f t="shared" si="1"/>
        <v>-</v>
      </c>
      <c r="F8" s="16" t="str">
        <f t="shared" si="2"/>
        <v>-</v>
      </c>
      <c r="G8" s="16"/>
      <c r="H8" s="16" t="str">
        <f t="shared" si="3"/>
        <v>-</v>
      </c>
      <c r="I8" s="16" t="str">
        <f t="shared" si="4"/>
        <v>-</v>
      </c>
      <c r="J8" s="16"/>
      <c r="K8" s="16" t="str">
        <f t="shared" si="5"/>
        <v>-</v>
      </c>
      <c r="L8" s="16" t="str">
        <f t="shared" si="6"/>
        <v>-</v>
      </c>
      <c r="M8" s="16"/>
      <c r="N8" s="16" t="str">
        <f t="shared" si="7"/>
        <v>-</v>
      </c>
      <c r="O8" s="16" t="str">
        <f t="shared" si="8"/>
        <v>-</v>
      </c>
      <c r="P8" s="16"/>
      <c r="Q8" s="16" t="str">
        <f t="shared" si="9"/>
        <v>-</v>
      </c>
      <c r="R8" s="16" t="str">
        <f t="shared" si="10"/>
        <v>-</v>
      </c>
      <c r="S8" s="16"/>
      <c r="T8" s="16" t="str">
        <f t="shared" si="11"/>
        <v>-</v>
      </c>
      <c r="U8" s="16" t="str">
        <f t="shared" si="12"/>
        <v>-</v>
      </c>
      <c r="V8" s="17"/>
      <c r="W8" s="668"/>
      <c r="X8" s="24">
        <f ca="1">Horarios!C8</f>
        <v>46198.125</v>
      </c>
      <c r="Y8" s="25">
        <f ca="1">Horarios!C8</f>
        <v>46198.125</v>
      </c>
      <c r="Z8" s="26" t="str">
        <f>Idiomas!D63</f>
        <v>J3</v>
      </c>
      <c r="AA8" s="27" t="str">
        <f ca="1">A8</f>
        <v>República Checa</v>
      </c>
      <c r="AB8" s="49" t="str" cm="1">
        <f t="array" aca="1" ref="AB8" ca="1">Ver_flag_local</f>
        <v>🇨🇿</v>
      </c>
      <c r="AC8" s="50"/>
      <c r="AD8" s="51"/>
      <c r="AE8" s="595" t="str" cm="1">
        <f t="array" aca="1" ref="AE8" ca="1">Ver_flag_visit</f>
        <v>🇲🇽</v>
      </c>
      <c r="AF8" s="32" t="str">
        <f ca="1">A5</f>
        <v>México</v>
      </c>
      <c r="AG8" s="323">
        <f t="shared" si="13"/>
        <v>0</v>
      </c>
      <c r="AH8" s="195">
        <v>53</v>
      </c>
      <c r="AI8" s="181" t="str">
        <f>AJ8&amp;$B$4</f>
        <v>3A</v>
      </c>
      <c r="AJ8" s="42">
        <v>3</v>
      </c>
      <c r="AK8" s="598" t="str" cm="1">
        <f t="array" aca="1" ref="AK8" ca="1">Ver_flag_visit</f>
        <v>🇰🇷</v>
      </c>
      <c r="AL8" s="37" t="str">
        <f ca="1">IFERROR(INDEX($BD$6:$BD$53,MATCH(AI8,$BN$6:$BN$53,0)),"")</f>
        <v>Corea del Sur</v>
      </c>
      <c r="AM8" s="38">
        <f t="shared" ca="1" si="15"/>
        <v>0</v>
      </c>
      <c r="AN8" s="39">
        <f t="shared" ca="1" si="15"/>
        <v>0</v>
      </c>
      <c r="AO8" s="39">
        <f t="shared" ca="1" si="15"/>
        <v>0</v>
      </c>
      <c r="AP8" s="39">
        <f t="shared" ca="1" si="15"/>
        <v>0</v>
      </c>
      <c r="AQ8" s="39">
        <f t="shared" ca="1" si="15"/>
        <v>0</v>
      </c>
      <c r="AR8" s="39">
        <f t="shared" ca="1" si="15"/>
        <v>0</v>
      </c>
      <c r="AS8" s="39">
        <f t="shared" ca="1" si="15"/>
        <v>0</v>
      </c>
      <c r="AT8" s="43">
        <f t="shared" ca="1" si="15"/>
        <v>0</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0</v>
      </c>
      <c r="BF8" s="16">
        <f t="shared" ca="1" si="41"/>
        <v>0</v>
      </c>
      <c r="BG8" s="16">
        <f t="shared" ca="1" si="17"/>
        <v>0</v>
      </c>
      <c r="BH8" s="16">
        <f t="shared" ca="1" si="18"/>
        <v>0</v>
      </c>
      <c r="BI8" s="16">
        <f t="shared" ca="1" si="19"/>
        <v>0</v>
      </c>
      <c r="BJ8" s="16">
        <f t="shared" ca="1" si="20"/>
        <v>0</v>
      </c>
      <c r="BK8" s="16">
        <f t="shared" ca="1" si="21"/>
        <v>0</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0</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P.1 (4)</v>
      </c>
      <c r="BU8" s="16">
        <f t="shared" ca="1" si="24"/>
        <v>0</v>
      </c>
      <c r="BV8" s="16">
        <f t="shared" ca="1" si="25"/>
        <v>0</v>
      </c>
      <c r="BW8" s="16">
        <f t="shared" ca="1" si="26"/>
        <v>0</v>
      </c>
      <c r="BX8" s="16">
        <f ca="1">IF($BT8="-","-",BU8*3+BV8)</f>
        <v>0</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P.1 (4)</v>
      </c>
      <c r="CA8" s="16">
        <f t="shared" ca="1" si="27"/>
        <v>0</v>
      </c>
      <c r="CB8" s="16">
        <f t="shared" ca="1" si="28"/>
        <v>0</v>
      </c>
      <c r="CC8" s="16">
        <f ca="1">IF($BZ8="-","-",CA8-CB8)</f>
        <v>0</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P.1 (4)</v>
      </c>
      <c r="CF8" s="16">
        <f t="shared" ca="1" si="29"/>
        <v>0</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P.1 (4)</v>
      </c>
      <c r="CI8" s="16">
        <f t="shared" ca="1" si="30"/>
        <v>0</v>
      </c>
      <c r="CJ8" s="16">
        <f t="shared" ca="1" si="31"/>
        <v>0</v>
      </c>
      <c r="CK8" s="16">
        <f t="shared" ca="1" si="32"/>
        <v>0</v>
      </c>
      <c r="CL8" s="16">
        <f ca="1">IF($CH8="-","-",CI8*3+CJ8)</f>
        <v>0</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P.1 (4)</v>
      </c>
      <c r="CO8" s="16">
        <f t="shared" ca="1" si="33"/>
        <v>0</v>
      </c>
      <c r="CP8" s="16">
        <f t="shared" ca="1" si="34"/>
        <v>0</v>
      </c>
      <c r="CQ8" s="16">
        <f ca="1">IF($CN8="-","-",CO8-CP8)</f>
        <v>0</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P.1 (4)</v>
      </c>
      <c r="CT8" s="16">
        <f t="shared" ca="1" si="35"/>
        <v>0</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P.1 (4)</v>
      </c>
      <c r="CW8" s="16">
        <f t="shared" ca="1" si="36"/>
        <v>0</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P.1 (4)</v>
      </c>
      <c r="CZ8" s="16">
        <f t="shared" ca="1" si="37"/>
        <v>0</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P.1 (4)</v>
      </c>
      <c r="DC8" s="16">
        <f ca="1">IF(DB8="-","-",COUNTIFS(T_Equipos[Rank],"&lt;"&amp;INDEX(T_Equipos[Rank],MATCH(BD8,T_Equipos[NombreEquipo],0)),$BC$6:$BC$53,INDEX(T_Equipos[Grupo],MATCH(BD8,T_Equipos[NombreEquipo],0)))+1)</f>
        <v>3</v>
      </c>
      <c r="DD8" s="16">
        <f ca="1">DA8+COUNTIFS($DB$6:$DB$53,DB8,$DC$6:DC$53,"&lt;"&amp;DC8,$BC$6:$BC$53,INDEX(T_Equipos[Grupo],MATCH(BD8,T_Equipos[NombreEquipo],0)))</f>
        <v>3</v>
      </c>
      <c r="DE8" s="16"/>
      <c r="DF8" s="16">
        <f t="shared" ca="1" si="45"/>
        <v>3</v>
      </c>
      <c r="DG8" s="16">
        <f ca="1">IF(DB8="-","-",COUNTIFS(DF$6:DF$53,"&lt;"&amp;DF8,$BC$6:$BC$53,INDEX(T_Equipos[Grupo],MATCH(BD8,T_Equipos[NombreEquipo],0))))</f>
        <v>2</v>
      </c>
      <c r="DH8" s="16">
        <f ca="1">DA8+COUNTIFS(DB$6:DB$53,DB8,DG$6:DG$53,"&lt;"&amp;DG8,$BC$6:$BC$53,INDEX(T_Equipos[Grupo],MATCH(BD8,T_Equipos[NombreEquipo],0)))</f>
        <v>3</v>
      </c>
      <c r="DI8" s="16"/>
      <c r="DJ8" s="16">
        <f t="shared" ca="1" si="38"/>
        <v>1</v>
      </c>
      <c r="DK8" s="16">
        <f t="shared" ca="1" si="39"/>
        <v>0</v>
      </c>
      <c r="DL8" s="16">
        <f t="shared" ca="1" si="40"/>
        <v>1</v>
      </c>
      <c r="DM8" s="16" t="str">
        <f t="shared" ca="1" si="46"/>
        <v>1.1</v>
      </c>
      <c r="DN8" s="16" cm="1">
        <f t="array" aca="1" ref="DN8" ca="1">OFFSET(Horarios!$P$3,DJ8-1,0,DL8,1)</f>
        <v>1</v>
      </c>
      <c r="DO8" s="16"/>
      <c r="DP8" s="16" t="s">
        <v>90</v>
      </c>
      <c r="DQ8" s="16" t="str">
        <f t="shared" ca="1" si="47"/>
        <v>Corea del Sur</v>
      </c>
    </row>
    <row r="9" spans="1:121" ht="16" customHeight="1" thickBot="1" x14ac:dyDescent="0.25">
      <c r="A9" s="16"/>
      <c r="B9" s="16"/>
      <c r="C9" s="16"/>
      <c r="D9" s="16" t="str">
        <f t="shared" si="0"/>
        <v>Pendiente</v>
      </c>
      <c r="E9" s="16" t="str">
        <f t="shared" si="1"/>
        <v>-</v>
      </c>
      <c r="F9" s="16" t="str">
        <f t="shared" si="2"/>
        <v>-</v>
      </c>
      <c r="G9" s="16"/>
      <c r="H9" s="16" t="str">
        <f t="shared" si="3"/>
        <v>-</v>
      </c>
      <c r="I9" s="16" t="str">
        <f t="shared" si="4"/>
        <v>-</v>
      </c>
      <c r="J9" s="16"/>
      <c r="K9" s="16" t="str">
        <f t="shared" si="5"/>
        <v>-</v>
      </c>
      <c r="L9" s="16" t="str">
        <f t="shared" si="6"/>
        <v>-</v>
      </c>
      <c r="M9" s="16"/>
      <c r="N9" s="16" t="str">
        <f t="shared" si="7"/>
        <v>-</v>
      </c>
      <c r="O9" s="16" t="str">
        <f t="shared" si="8"/>
        <v>-</v>
      </c>
      <c r="P9" s="16"/>
      <c r="Q9" s="16" t="str">
        <f t="shared" si="9"/>
        <v>-</v>
      </c>
      <c r="R9" s="16" t="str">
        <f t="shared" si="10"/>
        <v>-</v>
      </c>
      <c r="S9" s="16"/>
      <c r="T9" s="16" t="str">
        <f t="shared" si="11"/>
        <v>-</v>
      </c>
      <c r="U9" s="16" t="str">
        <f t="shared" si="12"/>
        <v>-</v>
      </c>
      <c r="V9" s="17"/>
      <c r="W9" s="669"/>
      <c r="X9" s="28">
        <f ca="1">Horarios!C9</f>
        <v>46198.125</v>
      </c>
      <c r="Y9" s="29">
        <f ca="1">Horarios!C9</f>
        <v>46198.125</v>
      </c>
      <c r="Z9" s="30" t="str">
        <f>$Z$8</f>
        <v>J3</v>
      </c>
      <c r="AA9" s="31" t="str">
        <f ca="1">A6</f>
        <v>Sudáfrica</v>
      </c>
      <c r="AB9" s="52" t="str" cm="1">
        <f t="array" aca="1" ref="AB9" ca="1">Ver_flag_local</f>
        <v>🇿🇦</v>
      </c>
      <c r="AC9" s="53"/>
      <c r="AD9" s="54"/>
      <c r="AE9" s="596" t="str" cm="1">
        <f t="array" aca="1" ref="AE9" ca="1">Ver_flag_visit</f>
        <v>🇰🇷</v>
      </c>
      <c r="AF9" s="33" t="str">
        <f ca="1">A7</f>
        <v>Corea del Sur</v>
      </c>
      <c r="AG9" s="323">
        <f t="shared" si="13"/>
        <v>0</v>
      </c>
      <c r="AH9" s="195">
        <v>54</v>
      </c>
      <c r="AI9" s="181" t="str">
        <f>AJ9&amp;$B$4</f>
        <v>4A</v>
      </c>
      <c r="AJ9" s="44">
        <v>4</v>
      </c>
      <c r="AK9" s="599" t="str" cm="1">
        <f t="array" aca="1" ref="AK9" ca="1">Ver_flag_visit</f>
        <v>🇨🇿</v>
      </c>
      <c r="AL9" s="45" t="str">
        <f ca="1">IFERROR(INDEX($BD$6:$BD$53,MATCH(AI9,$BN$6:$BN$53,0)),"")</f>
        <v>República Checa</v>
      </c>
      <c r="AM9" s="46">
        <f t="shared" ca="1" si="15"/>
        <v>0</v>
      </c>
      <c r="AN9" s="47">
        <f t="shared" ca="1" si="15"/>
        <v>0</v>
      </c>
      <c r="AO9" s="47">
        <f t="shared" ca="1" si="15"/>
        <v>0</v>
      </c>
      <c r="AP9" s="47">
        <f t="shared" ca="1" si="15"/>
        <v>0</v>
      </c>
      <c r="AQ9" s="47">
        <f t="shared" ca="1" si="15"/>
        <v>0</v>
      </c>
      <c r="AR9" s="47">
        <f t="shared" ca="1" si="15"/>
        <v>0</v>
      </c>
      <c r="AS9" s="47">
        <f t="shared" ca="1" si="15"/>
        <v>0</v>
      </c>
      <c r="AT9" s="48">
        <f t="shared" ca="1" si="15"/>
        <v>0</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0</v>
      </c>
      <c r="BF9" s="16">
        <f t="shared" ca="1" si="41"/>
        <v>0</v>
      </c>
      <c r="BG9" s="16">
        <f t="shared" ca="1" si="17"/>
        <v>0</v>
      </c>
      <c r="BH9" s="16">
        <f t="shared" ca="1" si="18"/>
        <v>0</v>
      </c>
      <c r="BI9" s="16">
        <f t="shared" ca="1" si="19"/>
        <v>0</v>
      </c>
      <c r="BJ9" s="16">
        <f t="shared" ca="1" si="20"/>
        <v>0</v>
      </c>
      <c r="BK9" s="16">
        <f t="shared" ca="1" si="21"/>
        <v>0</v>
      </c>
      <c r="BL9" s="16">
        <f t="shared" ca="1" si="42"/>
        <v>0</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0</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P.1 (4)</v>
      </c>
      <c r="BU9" s="16">
        <f t="shared" ca="1" si="24"/>
        <v>0</v>
      </c>
      <c r="BV9" s="16">
        <f t="shared" ca="1" si="25"/>
        <v>0</v>
      </c>
      <c r="BW9" s="16">
        <f t="shared" ca="1" si="26"/>
        <v>0</v>
      </c>
      <c r="BX9" s="16">
        <f ca="1">IF($BT9="-","-",BU9*3+BV9)</f>
        <v>0</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P.1 (4)</v>
      </c>
      <c r="CA9" s="16">
        <f t="shared" ca="1" si="27"/>
        <v>0</v>
      </c>
      <c r="CB9" s="16">
        <f t="shared" ca="1" si="28"/>
        <v>0</v>
      </c>
      <c r="CC9" s="16">
        <f ca="1">IF($BZ9="-","-",CA9-CB9)</f>
        <v>0</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P.1 (4)</v>
      </c>
      <c r="CF9" s="16">
        <f t="shared" ca="1" si="29"/>
        <v>0</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P.1 (4)</v>
      </c>
      <c r="CI9" s="16">
        <f t="shared" ca="1" si="30"/>
        <v>0</v>
      </c>
      <c r="CJ9" s="16">
        <f t="shared" ca="1" si="31"/>
        <v>0</v>
      </c>
      <c r="CK9" s="16">
        <f t="shared" ca="1" si="32"/>
        <v>0</v>
      </c>
      <c r="CL9" s="16">
        <f ca="1">IF($CH9="-","-",CI9*3+CJ9)</f>
        <v>0</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P.1 (4)</v>
      </c>
      <c r="CO9" s="16">
        <f t="shared" ca="1" si="33"/>
        <v>0</v>
      </c>
      <c r="CP9" s="16">
        <f t="shared" ca="1" si="34"/>
        <v>0</v>
      </c>
      <c r="CQ9" s="16">
        <f ca="1">IF($CN9="-","-",CO9-CP9)</f>
        <v>0</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P.1 (4)</v>
      </c>
      <c r="CT9" s="16">
        <f t="shared" ca="1" si="35"/>
        <v>0</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P.1 (4)</v>
      </c>
      <c r="CW9" s="16">
        <f t="shared" ca="1" si="36"/>
        <v>0</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P.1 (4)</v>
      </c>
      <c r="CZ9" s="16">
        <f t="shared" ca="1" si="37"/>
        <v>0</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P.1 (4)</v>
      </c>
      <c r="DC9" s="16">
        <f ca="1">IF(DB9="-","-",COUNTIFS(T_Equipos[Rank],"&lt;"&amp;INDEX(T_Equipos[Rank],MATCH(BD9,T_Equipos[NombreEquipo],0)),$BC$6:$BC$53,INDEX(T_Equipos[Grupo],MATCH(BD9,T_Equipos[NombreEquipo],0)))+1)</f>
        <v>4</v>
      </c>
      <c r="DD9" s="16">
        <f ca="1">DA9+COUNTIFS($DB$6:$DB$53,DB9,$DC$6:DC$53,"&lt;"&amp;DC9,$BC$6:$BC$53,INDEX(T_Equipos[Grupo],MATCH(BD9,T_Equipos[NombreEquipo],0)))</f>
        <v>4</v>
      </c>
      <c r="DE9" s="16"/>
      <c r="DF9" s="16">
        <f t="shared" ca="1" si="45"/>
        <v>4</v>
      </c>
      <c r="DG9" s="16">
        <f ca="1">IF(DB9="-","-",COUNTIFS(DF$6:DF$53,"&lt;"&amp;DF9,$BC$6:$BC$53,INDEX(T_Equipos[Grupo],MATCH(BD9,T_Equipos[NombreEquipo],0))))</f>
        <v>3</v>
      </c>
      <c r="DH9" s="16">
        <f ca="1">DA9+COUNTIFS(DB$6:DB$53,DB9,DG$6:DG$53,"&lt;"&amp;DG9,$BC$6:$BC$53,INDEX(T_Equipos[Grupo],MATCH(BD9,T_Equipos[NombreEquipo],0)))</f>
        <v>4</v>
      </c>
      <c r="DI9" s="16"/>
      <c r="DJ9" s="16">
        <f t="shared" ca="1" si="38"/>
        <v>1</v>
      </c>
      <c r="DK9" s="16">
        <f t="shared" ca="1" si="39"/>
        <v>0</v>
      </c>
      <c r="DL9" s="16">
        <f t="shared" ca="1" si="40"/>
        <v>1</v>
      </c>
      <c r="DM9" s="16" t="str">
        <f t="shared" ca="1" si="46"/>
        <v>1.1</v>
      </c>
      <c r="DN9" s="16" cm="1">
        <f t="array" aca="1" ref="DN9" ca="1">OFFSET(Horarios!$P$3,DJ9-1,0,DL9,1)</f>
        <v>1</v>
      </c>
      <c r="DO9" s="16"/>
      <c r="DP9" s="16" t="s">
        <v>659</v>
      </c>
      <c r="DQ9" s="16" t="str">
        <f t="shared" ca="1" si="47"/>
        <v>República Checa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0</v>
      </c>
      <c r="BF10" s="16">
        <f t="shared" ca="1" si="41"/>
        <v>0</v>
      </c>
      <c r="BG10" s="16">
        <f t="shared" ca="1" si="17"/>
        <v>0</v>
      </c>
      <c r="BH10" s="16">
        <f t="shared" ca="1" si="18"/>
        <v>0</v>
      </c>
      <c r="BI10" s="16">
        <f t="shared" ca="1" si="19"/>
        <v>0</v>
      </c>
      <c r="BJ10" s="16">
        <f t="shared" ca="1" si="20"/>
        <v>0</v>
      </c>
      <c r="BK10" s="16">
        <f t="shared" ca="1" si="21"/>
        <v>0</v>
      </c>
      <c r="BL10" s="16">
        <f t="shared" ca="1" si="42"/>
        <v>0</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0</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(4)</v>
      </c>
      <c r="BU10" s="16">
        <f t="shared" ca="1" si="24"/>
        <v>0</v>
      </c>
      <c r="BV10" s="16">
        <f t="shared" ca="1" si="25"/>
        <v>0</v>
      </c>
      <c r="BW10" s="16">
        <f t="shared" ca="1" si="26"/>
        <v>0</v>
      </c>
      <c r="BX10" s="16">
        <f t="shared" ref="BX10:BX53" ca="1" si="48">IF($BT10="-","-",BU10*3+BV10)</f>
        <v>0</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(4)</v>
      </c>
      <c r="CA10" s="16">
        <f t="shared" ca="1" si="27"/>
        <v>0</v>
      </c>
      <c r="CB10" s="16">
        <f t="shared" ca="1" si="28"/>
        <v>0</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(4)</v>
      </c>
      <c r="CF10" s="16">
        <f t="shared" ca="1" si="29"/>
        <v>0</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(4)</v>
      </c>
      <c r="CI10" s="16">
        <f t="shared" ca="1" si="30"/>
        <v>0</v>
      </c>
      <c r="CJ10" s="16">
        <f t="shared" ca="1" si="31"/>
        <v>0</v>
      </c>
      <c r="CK10" s="16">
        <f t="shared" ca="1" si="32"/>
        <v>0</v>
      </c>
      <c r="CL10" s="16">
        <f t="shared" ref="CL10:CL53" ca="1" si="50">IF($CH10="-","-",CI10*3+CJ10)</f>
        <v>0</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(4)</v>
      </c>
      <c r="CO10" s="16">
        <f t="shared" ca="1" si="33"/>
        <v>0</v>
      </c>
      <c r="CP10" s="16">
        <f t="shared" ca="1" si="34"/>
        <v>0</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(4)</v>
      </c>
      <c r="CT10" s="16">
        <f t="shared" ca="1" si="35"/>
        <v>0</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(4)</v>
      </c>
      <c r="CW10" s="16">
        <f t="shared" ca="1" si="36"/>
        <v>0</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(4)</v>
      </c>
      <c r="CZ10" s="16">
        <f t="shared" ca="1" si="37"/>
        <v>0</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P.1 (4)</v>
      </c>
      <c r="DC10" s="16">
        <f ca="1">IF(DB10="-","-",COUNTIFS(T_Equipos[Rank],"&lt;"&amp;INDEX(T_Equipos[Rank],MATCH(BD10,T_Equipos[NombreEquipo],0)),$BC$6:$BC$53,INDEX(T_Equipos[Grupo],MATCH(BD10,T_Equipos[NombreEquipo],0)))+1)</f>
        <v>1</v>
      </c>
      <c r="DD10" s="16">
        <f ca="1">DA10+COUNTIFS($DB$6:$DB$53,DB10,$DC$6:DC$53,"&lt;"&amp;DC10,$BC$6:$BC$53,INDEX(T_Equipos[Grupo],MATCH(BD10,T_Equipos[NombreEquipo],0)))</f>
        <v>1</v>
      </c>
      <c r="DE10" s="16"/>
      <c r="DF10" s="16">
        <f t="shared" ref="DF10:DF53" ca="1" si="52">IF(OR(INDEX($AW$6:$AW$97,MATCH($BD10,$AV$6:$AV$97,0))="",DB10="-"),DD10,INDEX($AW$6:$AW$97,MATCH($BD10,$AV$6:$AV$97,0))+DD10/1000)</f>
        <v>1</v>
      </c>
      <c r="DG10" s="16">
        <f ca="1">IF(DB10="-","-",COUNTIFS(DF$6:DF$53,"&lt;"&amp;DF10,$BC$6:$BC$53,INDEX(T_Equipos[Grupo],MATCH(BD10,T_Equipos[NombreEquipo],0))))</f>
        <v>0</v>
      </c>
      <c r="DH10" s="16">
        <f ca="1">DA10+COUNTIFS(DB$6:DB$53,DB10,DG$6:DG$53,"&lt;"&amp;DG10,$BC$6:$BC$53,INDEX(T_Equipos[Grupo],MATCH(BD10,T_Equipos[NombreEquipo],0)))</f>
        <v>1</v>
      </c>
      <c r="DI10" s="16"/>
      <c r="DJ10" s="16">
        <f t="shared" ca="1" si="38"/>
        <v>1</v>
      </c>
      <c r="DK10" s="16">
        <f t="shared" ca="1" si="39"/>
        <v>0</v>
      </c>
      <c r="DL10" s="16">
        <f t="shared" ca="1" si="40"/>
        <v>1</v>
      </c>
      <c r="DM10" s="16" t="str">
        <f t="shared" ca="1" si="46"/>
        <v>1.1</v>
      </c>
      <c r="DN10" s="16" cm="1">
        <f t="array" aca="1" ref="DN10" ca="1">OFFSET(Horarios!$P$3,DJ10-1,0,DL10,1)</f>
        <v>1</v>
      </c>
      <c r="DO10" s="16"/>
      <c r="DP10" s="16" t="s">
        <v>660</v>
      </c>
      <c r="DQ10" s="16" t="str">
        <f t="shared" ca="1" si="47"/>
        <v>Canadá</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41"/>
        <v>0</v>
      </c>
      <c r="BG11" s="16">
        <f t="shared" ca="1" si="17"/>
        <v>0</v>
      </c>
      <c r="BH11" s="16">
        <f t="shared" ca="1" si="18"/>
        <v>0</v>
      </c>
      <c r="BI11" s="16">
        <f t="shared" ca="1" si="19"/>
        <v>0</v>
      </c>
      <c r="BJ11" s="16">
        <f t="shared" ca="1" si="20"/>
        <v>0</v>
      </c>
      <c r="BK11" s="16">
        <f t="shared" ca="1" si="21"/>
        <v>0</v>
      </c>
      <c r="BL11" s="16">
        <f t="shared" ca="1" si="42"/>
        <v>0</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0</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P.1 (4)</v>
      </c>
      <c r="BU11" s="16">
        <f t="shared" ca="1" si="24"/>
        <v>0</v>
      </c>
      <c r="BV11" s="16">
        <f t="shared" ca="1" si="25"/>
        <v>0</v>
      </c>
      <c r="BW11" s="16">
        <f t="shared" ca="1" si="26"/>
        <v>0</v>
      </c>
      <c r="BX11" s="16">
        <f t="shared" ca="1" si="48"/>
        <v>0</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P.1 (4)</v>
      </c>
      <c r="CA11" s="16">
        <f t="shared" ca="1" si="27"/>
        <v>0</v>
      </c>
      <c r="CB11" s="16">
        <f t="shared" ca="1" si="28"/>
        <v>0</v>
      </c>
      <c r="CC11" s="16">
        <f t="shared" ca="1" si="49"/>
        <v>0</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P.1 (4)</v>
      </c>
      <c r="CF11" s="16">
        <f t="shared" ca="1" si="29"/>
        <v>0</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P.1 (4)</v>
      </c>
      <c r="CI11" s="16">
        <f t="shared" ca="1" si="30"/>
        <v>0</v>
      </c>
      <c r="CJ11" s="16">
        <f t="shared" ca="1" si="31"/>
        <v>0</v>
      </c>
      <c r="CK11" s="16">
        <f t="shared" ca="1" si="32"/>
        <v>0</v>
      </c>
      <c r="CL11" s="16">
        <f t="shared" ca="1" si="50"/>
        <v>0</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P.1 (4)</v>
      </c>
      <c r="CO11" s="16">
        <f t="shared" ca="1" si="33"/>
        <v>0</v>
      </c>
      <c r="CP11" s="16">
        <f t="shared" ca="1" si="34"/>
        <v>0</v>
      </c>
      <c r="CQ11" s="16">
        <f t="shared" ca="1" si="51"/>
        <v>0</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P.1 (4)</v>
      </c>
      <c r="CT11" s="16">
        <f t="shared" ca="1" si="35"/>
        <v>0</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P.1 (4)</v>
      </c>
      <c r="CW11" s="16">
        <f t="shared" ca="1" si="36"/>
        <v>0</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P.1 (4)</v>
      </c>
      <c r="CZ11" s="16">
        <f t="shared" ca="1" si="37"/>
        <v>0</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P.1 (4)</v>
      </c>
      <c r="DC11" s="16">
        <f ca="1">IF(DB11="-","-",COUNTIFS(T_Equipos[Rank],"&lt;"&amp;INDEX(T_Equipos[Rank],MATCH(BD11,T_Equipos[NombreEquipo],0)),$BC$6:$BC$53,INDEX(T_Equipos[Grupo],MATCH(BD11,T_Equipos[NombreEquipo],0)))+1)</f>
        <v>2</v>
      </c>
      <c r="DD11" s="16">
        <f ca="1">DA11+COUNTIFS($DB$6:$DB$53,DB11,$DC$6:DC$53,"&lt;"&amp;DC11,$BC$6:$BC$53,INDEX(T_Equipos[Grupo],MATCH(BD11,T_Equipos[NombreEquipo],0)))</f>
        <v>2</v>
      </c>
      <c r="DE11" s="16"/>
      <c r="DF11" s="16">
        <f t="shared" ca="1" si="52"/>
        <v>2</v>
      </c>
      <c r="DG11" s="16">
        <f ca="1">IF(DB11="-","-",COUNTIFS(DF$6:DF$53,"&lt;"&amp;DF11,$BC$6:$BC$53,INDEX(T_Equipos[Grupo],MATCH(BD11,T_Equipos[NombreEquipo],0))))</f>
        <v>1</v>
      </c>
      <c r="DH11" s="16">
        <f ca="1">DA11+COUNTIFS(DB$6:DB$53,DB11,DG$6:DG$53,"&lt;"&amp;DG11,$BC$6:$BC$53,INDEX(T_Equipos[Grupo],MATCH(BD11,T_Equipos[NombreEquipo],0)))</f>
        <v>2</v>
      </c>
      <c r="DI11" s="16"/>
      <c r="DJ11" s="16">
        <f t="shared" ca="1" si="38"/>
        <v>1</v>
      </c>
      <c r="DK11" s="16">
        <f t="shared" ca="1" si="39"/>
        <v>0</v>
      </c>
      <c r="DL11" s="16">
        <f t="shared" ca="1" si="40"/>
        <v>1</v>
      </c>
      <c r="DM11" s="16" t="str">
        <f t="shared" ca="1" si="46"/>
        <v>1.1</v>
      </c>
      <c r="DN11" s="16" cm="1">
        <f t="array" aca="1" ref="DN11" ca="1">OFFSET(Horarios!$P$3,DJ11-1,0,DL11,1)</f>
        <v>1</v>
      </c>
      <c r="DO11" s="16"/>
      <c r="DP11" s="16" t="s">
        <v>661</v>
      </c>
      <c r="DQ11" s="16" t="str">
        <f t="shared" ca="1" si="47"/>
        <v>Bosnia y Herzegovina</v>
      </c>
    </row>
    <row r="12" spans="1:121" ht="16" customHeight="1" thickBot="1" x14ac:dyDescent="0.25">
      <c r="A12" s="16" t="s">
        <v>32</v>
      </c>
      <c r="B12" s="16" t="s">
        <v>1</v>
      </c>
      <c r="C12" s="16">
        <f>COUNTIF(Equipos!$C$2:$C$49,WORLDCUP!B12)</f>
        <v>4</v>
      </c>
      <c r="D12" s="16" t="str">
        <f t="shared" ref="D12:D17" si="53">IF(OR(AC12="",AD12=""),"Pendiente",IF(AC12&gt;AD12,"Local",IF(AC12&lt;AD12,"Visitante","Empate")))</f>
        <v>Pendiente</v>
      </c>
      <c r="E12" s="16" t="str">
        <f t="shared" ref="E12:E17" si="54">IF(D12="Pendiente","-",INDEX($BT$6:$BT$53,MATCH($AA12,$BD$6:$BD$53,0)))</f>
        <v>-</v>
      </c>
      <c r="F12" s="16" t="str">
        <f t="shared" ref="F12:F17" si="55">IF(D12="Pendiente","-",INDEX($BT$6:$BT$53,MATCH($AF12,$BD$6:$BD$53,0)))</f>
        <v>-</v>
      </c>
      <c r="G12" s="16"/>
      <c r="H12" s="16" t="str">
        <f t="shared" ref="H12:H17" si="56">IF(D12="Pendiente","-",INDEX($BZ$6:$BZ$53,MATCH($AA12,$BD$6:$BD$53,0)))</f>
        <v>-</v>
      </c>
      <c r="I12" s="16" t="str">
        <f t="shared" ref="I12:I17" si="57">IF(D12="Pendiente","-",INDEX($BZ$6:$BZ$53,MATCH($AF12,$BD$6:$BD$53,0)))</f>
        <v>-</v>
      </c>
      <c r="J12" s="16"/>
      <c r="K12" s="16" t="str">
        <f t="shared" ref="K12:K17" si="58">IF(D12="Pendiente","-",INDEX($CE$6:$CE$53,MATCH($AA12,$BD$6:$BD$53,0)))</f>
        <v>-</v>
      </c>
      <c r="L12" s="16" t="str">
        <f t="shared" ref="L12:L17" si="59">IF(D12="Pendiente","-",INDEX($CE$6:$CE$53,MATCH($AF12,$BD$6:$BD$53,0)))</f>
        <v>-</v>
      </c>
      <c r="M12" s="16"/>
      <c r="N12" s="16" t="str">
        <f t="shared" ref="N12:N17" si="60">IF(D12="Pendiente","-",INDEX($CH$6:$CH$53,MATCH($AA12,$BD$6:$BD$53,0)))</f>
        <v>-</v>
      </c>
      <c r="O12" s="16" t="str">
        <f t="shared" ref="O12:O17" si="61">IF(D12="Pendiente","-",INDEX($CH$6:$CH$53,MATCH($AF12,$BD$6:$BD$53,0)))</f>
        <v>-</v>
      </c>
      <c r="P12" s="16"/>
      <c r="Q12" s="16" t="str">
        <f t="shared" ref="Q12:Q17" si="62">IF(D12="Pendiente","-",INDEX($CN$6:$CN$53,MATCH($AA12,$BD$6:$BD$53,0)))</f>
        <v>-</v>
      </c>
      <c r="R12" s="16" t="str">
        <f t="shared" ref="R12:R17" si="63">IF(D12="Pendiente","-",INDEX($CN$6:$CN$53,MATCH($AF12,$BD$6:$BD$53,0)))</f>
        <v>-</v>
      </c>
      <c r="S12" s="16"/>
      <c r="T12" s="16" t="str">
        <f t="shared" ref="T12:T17" si="64">IF(D12="Pendiente","-",INDEX($CS$6:$CS$53,MATCH($AA12,$BD$6:$BD$53,0)))</f>
        <v>-</v>
      </c>
      <c r="U12" s="16" t="str">
        <f t="shared" ref="U12:U17"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v>
      </c>
      <c r="AC12" s="50"/>
      <c r="AD12" s="51"/>
      <c r="AE12" s="595" t="str" cm="1">
        <f t="array" aca="1" ref="AE12" ca="1">Ver_flag_visit</f>
        <v>🇧🇦</v>
      </c>
      <c r="AF12" s="32" t="str">
        <f ca="1">A14</f>
        <v>Bosnia y Herzegovina</v>
      </c>
      <c r="AG12" s="323">
        <f t="shared" ref="AG12:AG17" si="66">IF(NOT(OR(ISBLANK(AC12),ISBLANK(AD12))),1,0)</f>
        <v>0</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0</v>
      </c>
      <c r="BG12" s="16">
        <f t="shared" ca="1" si="17"/>
        <v>0</v>
      </c>
      <c r="BH12" s="16">
        <f t="shared" ca="1" si="18"/>
        <v>0</v>
      </c>
      <c r="BI12" s="16">
        <f t="shared" ca="1" si="19"/>
        <v>0</v>
      </c>
      <c r="BJ12" s="16">
        <f t="shared" ca="1" si="20"/>
        <v>0</v>
      </c>
      <c r="BK12" s="16">
        <f t="shared" ca="1" si="21"/>
        <v>0</v>
      </c>
      <c r="BL12" s="16">
        <f t="shared" ca="1" si="42"/>
        <v>0</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1</v>
      </c>
      <c r="BT12" s="16" t="str">
        <f ca="1">IF(COUNTIFS($BS$6:$BS$53,BS12,$BC$6:$BC$53,INDEX(T_Equipos[Grupo],MATCH(BD12,T_Equipos[NombreEquipo],0)))=1,"-","P."&amp;BS12&amp;" ("&amp;COUNTIFS($BS$6:$BS$53,BS12,$BC$6:$BC$53,INDEX(T_Equipos[Grupo],MATCH(BD12,T_Equipos[NombreEquipo],0)))&amp;")")</f>
        <v>P.1 (4)</v>
      </c>
      <c r="BU12" s="16">
        <f t="shared" ca="1" si="24"/>
        <v>0</v>
      </c>
      <c r="BV12" s="16">
        <f t="shared" ca="1" si="25"/>
        <v>0</v>
      </c>
      <c r="BW12" s="16">
        <f t="shared" ca="1" si="26"/>
        <v>0</v>
      </c>
      <c r="BX12" s="16">
        <f t="shared" ca="1" si="48"/>
        <v>0</v>
      </c>
      <c r="BY12" s="16">
        <f ca="1">BS12+COUNTIFS($BT$6:$BT$53,BT12,$BX$6:BX$53,"&gt;"&amp;BX12,$BC$6:$BC$53,INDEX(T_Equipos[Grupo],MATCH(BD12,T_Equipos[NombreEquipo],0)))</f>
        <v>1</v>
      </c>
      <c r="BZ12" s="16" t="str">
        <f ca="1">IF(COUNTIFS($BY$6:$BY$53,BY12,$BC$6:$BC$53,INDEX(T_Equipos[Grupo],MATCH(BD12,T_Equipos[NombreEquipo],0)))=1,"-","P."&amp;BY12&amp;" ("&amp;COUNTIFS($BY$6:$BY$53,BY12,$BC$6:$BC$53,INDEX(T_Equipos[Grupo],MATCH(BD12,T_Equipos[NombreEquipo],0)))&amp;")")</f>
        <v>P.1 (4)</v>
      </c>
      <c r="CA12" s="16">
        <f t="shared" ca="1" si="27"/>
        <v>0</v>
      </c>
      <c r="CB12" s="16">
        <f t="shared" ca="1" si="28"/>
        <v>0</v>
      </c>
      <c r="CC12" s="16">
        <f t="shared" ca="1" si="49"/>
        <v>0</v>
      </c>
      <c r="CD12" s="16">
        <f ca="1">BY12+COUNTIFS($BZ$6:$BZ$53,BZ12,$CC$6:CC$53,"&gt;"&amp;CC12,$BC$6:$BC$53,INDEX(T_Equipos[Grupo],MATCH(BD12,T_Equipos[NombreEquipo],0)))</f>
        <v>1</v>
      </c>
      <c r="CE12" s="16" t="str">
        <f ca="1">IF(COUNTIFS($CD$6:$CD$53,CD12,$BC$6:$BC$53,INDEX(T_Equipos[Grupo],MATCH(BD12,T_Equipos[NombreEquipo],0)))=1,"-","P."&amp;CD12&amp;" ("&amp;COUNTIFS($CD$6:$CD$53,CD12,$BC$6:$BC$53,INDEX(T_Equipos[Grupo],MATCH(BD12,T_Equipos[NombreEquipo],0)))&amp;")")</f>
        <v>P.1 (4)</v>
      </c>
      <c r="CF12" s="16">
        <f t="shared" ca="1" si="29"/>
        <v>0</v>
      </c>
      <c r="CG12" s="16">
        <f ca="1">CD12+COUNTIFS($CE$6:$CE$53,CE12,$CF$6:CF$53,"&gt;"&amp;CF12,$BC$6:$BC$53,INDEX(T_Equipos[Grupo],MATCH(BD12,T_Equipos[NombreEquipo],0)))</f>
        <v>1</v>
      </c>
      <c r="CH12" s="16" t="str">
        <f ca="1">IF(COUNTIFS($CG$6:$CG$53,CG12,$BC$6:$BC$53,INDEX(T_Equipos[Grupo],MATCH(BD12,T_Equipos[NombreEquipo],0)))=1,"-","P."&amp;CG12&amp;" ("&amp;COUNTIFS($CG$6:$CG$53,CG12,$BC$6:$BC$53,INDEX(T_Equipos[Grupo],MATCH(BD12,T_Equipos[NombreEquipo],0)))&amp;")")</f>
        <v>P.1 (4)</v>
      </c>
      <c r="CI12" s="16">
        <f t="shared" ca="1" si="30"/>
        <v>0</v>
      </c>
      <c r="CJ12" s="16">
        <f t="shared" ca="1" si="31"/>
        <v>0</v>
      </c>
      <c r="CK12" s="16">
        <f t="shared" ca="1" si="32"/>
        <v>0</v>
      </c>
      <c r="CL12" s="16">
        <f t="shared" ca="1" si="50"/>
        <v>0</v>
      </c>
      <c r="CM12" s="16">
        <f ca="1">CG12+COUNTIFS($CH$6:$CH$53,CH12,$CL$6:CL$53,"&gt;"&amp;CL12,$BC$6:$BC$53,INDEX(T_Equipos[Grupo],MATCH(BD12,T_Equipos[NombreEquipo],0)))</f>
        <v>1</v>
      </c>
      <c r="CN12" s="16" t="str">
        <f ca="1">IF(COUNTIFS($CM$6:$CM$53,CM12,$BC$6:$BC$53,INDEX(T_Equipos[Grupo],MATCH(BD12,T_Equipos[NombreEquipo],0)))=1,"-","P."&amp;CM12&amp;" ("&amp;COUNTIFS($CM$6:$CM$53,CM12,$BC$6:$BC$53,INDEX(T_Equipos[Grupo],MATCH(BD12,T_Equipos[NombreEquipo],0)))&amp;")")</f>
        <v>P.1 (4)</v>
      </c>
      <c r="CO12" s="16">
        <f t="shared" ca="1" si="33"/>
        <v>0</v>
      </c>
      <c r="CP12" s="16">
        <f t="shared" ca="1" si="34"/>
        <v>0</v>
      </c>
      <c r="CQ12" s="16">
        <f t="shared" ca="1" si="51"/>
        <v>0</v>
      </c>
      <c r="CR12" s="16">
        <f ca="1">CM12+COUNTIFS($CN$6:$CN$53,CN12,$CQ$6:CQ$53,"&gt;"&amp;CQ12,$BC$6:$BC$53,INDEX(T_Equipos[Grupo],MATCH(BD12,T_Equipos[NombreEquipo],0)))</f>
        <v>1</v>
      </c>
      <c r="CS12" s="16" t="str">
        <f ca="1">IF(COUNTIFS($CR$6:$CR$53,CR12,$BC$6:$BC$53,INDEX(T_Equipos[Grupo],MATCH(BD12,T_Equipos[NombreEquipo],0)))=1,"-","P."&amp;CR12&amp;" ("&amp;COUNTIFS($CR$6:$CR$53,CR12,$BC$6:$BC$53,INDEX(T_Equipos[Grupo],MATCH(BD12,T_Equipos[NombreEquipo],0)))&amp;")")</f>
        <v>P.1 (4)</v>
      </c>
      <c r="CT12" s="16">
        <f t="shared" ca="1" si="35"/>
        <v>0</v>
      </c>
      <c r="CU12" s="16">
        <f ca="1">CR12+COUNTIFS($CS$6:$CS$53,CS12,$CT$6:CT$53,"&gt;"&amp;CT12,$BC$6:$BC$53,INDEX(T_Equipos[Grupo],MATCH(BD12,T_Equipos[NombreEquipo],0)))</f>
        <v>1</v>
      </c>
      <c r="CV12" s="16" t="str">
        <f ca="1">IF(COUNTIFS($CU$6:$CU$53,CU12,$BC$6:$BC$53,INDEX(T_Equipos[Grupo],MATCH(BD12,T_Equipos[NombreEquipo],0)))=1,"-","P."&amp;CU12&amp;" ("&amp;COUNTIFS($CU$6:$CU$53,CU12,$BC$6:$BC$53,INDEX(T_Equipos[Grupo],MATCH(BD12,T_Equipos[NombreEquipo],0)))&amp;")")</f>
        <v>P.1 (4)</v>
      </c>
      <c r="CW12" s="16">
        <f t="shared" ca="1" si="36"/>
        <v>0</v>
      </c>
      <c r="CX12" s="16">
        <f ca="1">CU12+COUNTIFS($CV$6:$CV$53,CV12,$CW$6:CW$53,"&gt;"&amp;CW12,$BC$6:$BC$53,INDEX(T_Equipos[Grupo],MATCH(BD12,T_Equipos[NombreEquipo],0)))</f>
        <v>1</v>
      </c>
      <c r="CY12" s="16" t="str">
        <f ca="1">IF(COUNTIFS($CX$6:$CX$53,CX12,$BC$6:$BC$53,INDEX(T_Equipos[Grupo],MATCH(BD12,T_Equipos[NombreEquipo],0)))=1,"-","P."&amp;CX12&amp;" ("&amp;COUNTIFS($CX$6:$CX$53,CX12,$BC$6:$BC$53,INDEX(T_Equipos[Grupo],MATCH(BD12,T_Equipos[NombreEquipo],0)))&amp;")")</f>
        <v>P.1 (4)</v>
      </c>
      <c r="CZ12" s="16">
        <f t="shared" ca="1" si="37"/>
        <v>0</v>
      </c>
      <c r="DA12" s="16">
        <f ca="1">CX12+COUNTIFS($CY$6:$CY$53,CY12,$CZ$6:CZ$53,"&gt;"&amp;CZ12,$BC$6:$BC$53,INDEX(T_Equipos[Grupo],MATCH(BD12,T_Equipos[NombreEquipo],0)))</f>
        <v>1</v>
      </c>
      <c r="DB12" s="16" t="str">
        <f ca="1">IF(COUNTIFS($DA$6:$DA$53,DA12,$BC$6:$BC$53,INDEX(T_Equipos[Grupo],MATCH(BD12,T_Equipos[NombreEquipo],0)))=1,"-","P."&amp;DA12&amp;" ("&amp;COUNTIFS($DA$6:$DA$53,DA12,$BC$6:$BC$53,INDEX(T_Equipos[Grupo],MATCH(BD12,T_Equipos[NombreEquipo],0)))&amp;")")</f>
        <v>P.1 (4)</v>
      </c>
      <c r="DC12" s="16">
        <f ca="1">IF(DB12="-","-",COUNTIFS(T_Equipos[Rank],"&lt;"&amp;INDEX(T_Equipos[Rank],MATCH(BD12,T_Equipos[NombreEquipo],0)),$BC$6:$BC$53,INDEX(T_Equipos[Grupo],MATCH(BD12,T_Equipos[NombreEquipo],0)))+1)</f>
        <v>3</v>
      </c>
      <c r="DD12" s="16">
        <f ca="1">DA12+COUNTIFS($DB$6:$DB$53,DB12,$DC$6:DC$53,"&lt;"&amp;DC12,$BC$6:$BC$53,INDEX(T_Equipos[Grupo],MATCH(BD12,T_Equipos[NombreEquipo],0)))</f>
        <v>3</v>
      </c>
      <c r="DE12" s="16"/>
      <c r="DF12" s="16">
        <f t="shared" ca="1" si="52"/>
        <v>3</v>
      </c>
      <c r="DG12" s="16">
        <f ca="1">IF(DB12="-","-",COUNTIFS(DF$6:DF$53,"&lt;"&amp;DF12,$BC$6:$BC$53,INDEX(T_Equipos[Grupo],MATCH(BD12,T_Equipos[NombreEquipo],0))))</f>
        <v>2</v>
      </c>
      <c r="DH12" s="16">
        <f ca="1">DA12+COUNTIFS(DB$6:DB$53,DB12,DG$6:DG$53,"&lt;"&amp;DG12,$BC$6:$BC$53,INDEX(T_Equipos[Grupo],MATCH(BD12,T_Equipos[NombreEquipo],0)))</f>
        <v>3</v>
      </c>
      <c r="DI12" s="16"/>
      <c r="DJ12" s="16">
        <f t="shared" ca="1" si="38"/>
        <v>1</v>
      </c>
      <c r="DK12" s="16">
        <f t="shared" ca="1" si="39"/>
        <v>0</v>
      </c>
      <c r="DL12" s="16">
        <f t="shared" ca="1" si="40"/>
        <v>1</v>
      </c>
      <c r="DM12" s="16" t="str">
        <f t="shared" ca="1" si="46"/>
        <v>1.1</v>
      </c>
      <c r="DN12" s="16" cm="1">
        <f t="array" aca="1" ref="DN12" ca="1">OFFSET(Horarios!$P$3,DJ12-1,0,DL12,1)</f>
        <v>1</v>
      </c>
      <c r="DO12" s="16"/>
      <c r="DP12" s="16" t="s">
        <v>91</v>
      </c>
      <c r="DQ12" s="16" t="str">
        <f t="shared" ca="1" si="47"/>
        <v>Catar</v>
      </c>
    </row>
    <row r="13" spans="1:121" ht="16" customHeight="1" x14ac:dyDescent="0.2">
      <c r="A13" s="16" t="str">
        <f ca="1">+Equipos!B6</f>
        <v>Canadá</v>
      </c>
      <c r="B13" s="16"/>
      <c r="C13" s="16"/>
      <c r="D13" s="16" t="str">
        <f t="shared" si="53"/>
        <v>Pendiente</v>
      </c>
      <c r="E13" s="16" t="str">
        <f t="shared" si="54"/>
        <v>-</v>
      </c>
      <c r="F13" s="16" t="str">
        <f t="shared" si="55"/>
        <v>-</v>
      </c>
      <c r="G13" s="16"/>
      <c r="H13" s="16" t="str">
        <f t="shared" si="56"/>
        <v>-</v>
      </c>
      <c r="I13" s="16" t="str">
        <f t="shared" si="57"/>
        <v>-</v>
      </c>
      <c r="J13" s="16"/>
      <c r="K13" s="16" t="str">
        <f t="shared" si="58"/>
        <v>-</v>
      </c>
      <c r="L13" s="16" t="str">
        <f t="shared" si="59"/>
        <v>-</v>
      </c>
      <c r="M13" s="16"/>
      <c r="N13" s="16" t="str">
        <f t="shared" si="60"/>
        <v>-</v>
      </c>
      <c r="O13" s="16" t="str">
        <f t="shared" si="61"/>
        <v>-</v>
      </c>
      <c r="P13" s="16"/>
      <c r="Q13" s="16" t="str">
        <f t="shared" si="62"/>
        <v>-</v>
      </c>
      <c r="R13" s="16" t="str">
        <f t="shared" si="63"/>
        <v>-</v>
      </c>
      <c r="S13" s="16"/>
      <c r="T13" s="16" t="str">
        <f t="shared" si="64"/>
        <v>-</v>
      </c>
      <c r="U13" s="16" t="str">
        <f t="shared" si="65"/>
        <v>-</v>
      </c>
      <c r="V13" s="17"/>
      <c r="W13" s="670"/>
      <c r="X13" s="24">
        <f ca="1">Horarios!C13</f>
        <v>46186.875</v>
      </c>
      <c r="Y13" s="25">
        <f ca="1">Horarios!C13</f>
        <v>46186.875</v>
      </c>
      <c r="Z13" s="26" t="str">
        <f>$Z$4</f>
        <v>J1</v>
      </c>
      <c r="AA13" s="27" t="str">
        <f ca="1">A15</f>
        <v>Catar</v>
      </c>
      <c r="AB13" s="49" t="str" cm="1">
        <f t="array" aca="1" ref="AB13" ca="1">Ver_flag_local</f>
        <v>🇶🇦</v>
      </c>
      <c r="AC13" s="50"/>
      <c r="AD13" s="51"/>
      <c r="AE13" s="595" t="str" cm="1">
        <f t="array" aca="1" ref="AE13" ca="1">Ver_flag_visit</f>
        <v>🇨🇭</v>
      </c>
      <c r="AF13" s="32" t="str">
        <f ca="1">A16</f>
        <v>Suiza</v>
      </c>
      <c r="AG13" s="323">
        <f t="shared" si="66"/>
        <v>0</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0</v>
      </c>
      <c r="BF13" s="16">
        <f t="shared" ca="1" si="41"/>
        <v>0</v>
      </c>
      <c r="BG13" s="16">
        <f t="shared" ca="1" si="17"/>
        <v>0</v>
      </c>
      <c r="BH13" s="16">
        <f t="shared" ca="1" si="18"/>
        <v>0</v>
      </c>
      <c r="BI13" s="16">
        <f t="shared" ca="1" si="19"/>
        <v>0</v>
      </c>
      <c r="BJ13" s="16">
        <f t="shared" ca="1" si="20"/>
        <v>0</v>
      </c>
      <c r="BK13" s="16">
        <f t="shared" ca="1" si="21"/>
        <v>0</v>
      </c>
      <c r="BL13" s="16">
        <f t="shared" ca="1" si="42"/>
        <v>0</v>
      </c>
      <c r="BM13" s="16" t="str">
        <f t="shared" ca="1" si="22"/>
        <v>4B</v>
      </c>
      <c r="BN13" s="16" t="str">
        <f t="shared" ca="1" si="23"/>
        <v>4B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0</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(4)</v>
      </c>
      <c r="BU13" s="16">
        <f t="shared" ca="1" si="24"/>
        <v>0</v>
      </c>
      <c r="BV13" s="16">
        <f t="shared" ca="1" si="25"/>
        <v>0</v>
      </c>
      <c r="BW13" s="16">
        <f t="shared" ca="1" si="26"/>
        <v>0</v>
      </c>
      <c r="BX13" s="16">
        <f t="shared" ca="1" si="48"/>
        <v>0</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(4)</v>
      </c>
      <c r="CA13" s="16">
        <f t="shared" ca="1" si="27"/>
        <v>0</v>
      </c>
      <c r="CB13" s="16">
        <f t="shared" ca="1" si="28"/>
        <v>0</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(4)</v>
      </c>
      <c r="CF13" s="16">
        <f t="shared" ca="1" si="29"/>
        <v>0</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(4)</v>
      </c>
      <c r="CI13" s="16">
        <f t="shared" ca="1" si="30"/>
        <v>0</v>
      </c>
      <c r="CJ13" s="16">
        <f t="shared" ca="1" si="31"/>
        <v>0</v>
      </c>
      <c r="CK13" s="16">
        <f t="shared" ca="1" si="32"/>
        <v>0</v>
      </c>
      <c r="CL13" s="16">
        <f t="shared" ca="1" si="50"/>
        <v>0</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(4)</v>
      </c>
      <c r="CO13" s="16">
        <f t="shared" ca="1" si="33"/>
        <v>0</v>
      </c>
      <c r="CP13" s="16">
        <f t="shared" ca="1" si="34"/>
        <v>0</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(4)</v>
      </c>
      <c r="CT13" s="16">
        <f t="shared" ca="1" si="35"/>
        <v>0</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(4)</v>
      </c>
      <c r="CW13" s="16">
        <f t="shared" ca="1" si="36"/>
        <v>0</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P.1 (4)</v>
      </c>
      <c r="CZ13" s="16">
        <f t="shared" ca="1" si="37"/>
        <v>0</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P.1 (4)</v>
      </c>
      <c r="DC13" s="16">
        <f ca="1">IF(DB13="-","-",COUNTIFS(T_Equipos[Rank],"&lt;"&amp;INDEX(T_Equipos[Rank],MATCH(BD13,T_Equipos[NombreEquipo],0)),$BC$6:$BC$53,INDEX(T_Equipos[Grupo],MATCH(BD13,T_Equipos[NombreEquipo],0)))+1)</f>
        <v>4</v>
      </c>
      <c r="DD13" s="16">
        <f ca="1">DA13+COUNTIFS($DB$6:$DB$53,DB13,$DC$6:DC$53,"&lt;"&amp;DC13,$BC$6:$BC$53,INDEX(T_Equipos[Grupo],MATCH(BD13,T_Equipos[NombreEquipo],0)))</f>
        <v>4</v>
      </c>
      <c r="DE13" s="16"/>
      <c r="DF13" s="16">
        <f t="shared" ca="1" si="52"/>
        <v>4</v>
      </c>
      <c r="DG13" s="16">
        <f ca="1">IF(DB13="-","-",COUNTIFS(DF$6:DF$53,"&lt;"&amp;DF13,$BC$6:$BC$53,INDEX(T_Equipos[Grupo],MATCH(BD13,T_Equipos[NombreEquipo],0))))</f>
        <v>3</v>
      </c>
      <c r="DH13" s="16">
        <f ca="1">DA13+COUNTIFS(DB$6:DB$53,DB13,DG$6:DG$53,"&lt;"&amp;DG13,$BC$6:$BC$53,INDEX(T_Equipos[Grupo],MATCH(BD13,T_Equipos[NombreEquipo],0)))</f>
        <v>4</v>
      </c>
      <c r="DI13" s="16"/>
      <c r="DJ13" s="16">
        <f t="shared" ca="1" si="38"/>
        <v>1</v>
      </c>
      <c r="DK13" s="16">
        <f t="shared" ca="1" si="39"/>
        <v>0</v>
      </c>
      <c r="DL13" s="16">
        <f t="shared" ca="1" si="40"/>
        <v>1</v>
      </c>
      <c r="DM13" s="16" t="str">
        <f t="shared" ca="1" si="46"/>
        <v>1.1</v>
      </c>
      <c r="DN13" s="16" cm="1">
        <f t="array" aca="1" ref="DN13" ca="1">OFFSET(Horarios!$P$3,DJ13-1,0,DL13,1)</f>
        <v>1</v>
      </c>
      <c r="DO13" s="16"/>
      <c r="DP13" s="16" t="s">
        <v>662</v>
      </c>
      <c r="DQ13" s="16" t="str">
        <f t="shared" ca="1" si="47"/>
        <v>Suiza</v>
      </c>
    </row>
    <row r="14" spans="1:121" ht="16" customHeight="1" x14ac:dyDescent="0.2">
      <c r="A14" s="16" t="str">
        <f ca="1">+Equipos!B7</f>
        <v>Bosnia y Herzegovina</v>
      </c>
      <c r="B14" s="16"/>
      <c r="C14" s="16"/>
      <c r="D14" s="16" t="str">
        <f t="shared" si="53"/>
        <v>Pendiente</v>
      </c>
      <c r="E14" s="16" t="str">
        <f t="shared" si="54"/>
        <v>-</v>
      </c>
      <c r="F14" s="16" t="str">
        <f t="shared" si="55"/>
        <v>-</v>
      </c>
      <c r="G14" s="16"/>
      <c r="H14" s="16" t="str">
        <f t="shared" si="56"/>
        <v>-</v>
      </c>
      <c r="I14" s="16" t="str">
        <f t="shared" si="57"/>
        <v>-</v>
      </c>
      <c r="J14" s="16"/>
      <c r="K14" s="16" t="str">
        <f t="shared" si="58"/>
        <v>-</v>
      </c>
      <c r="L14" s="16" t="str">
        <f t="shared" si="59"/>
        <v>-</v>
      </c>
      <c r="M14" s="16"/>
      <c r="N14" s="16" t="str">
        <f t="shared" si="60"/>
        <v>-</v>
      </c>
      <c r="O14" s="16" t="str">
        <f t="shared" si="61"/>
        <v>-</v>
      </c>
      <c r="P14" s="16"/>
      <c r="Q14" s="16" t="str">
        <f t="shared" si="62"/>
        <v>-</v>
      </c>
      <c r="R14" s="16" t="str">
        <f t="shared" si="63"/>
        <v>-</v>
      </c>
      <c r="S14" s="16"/>
      <c r="T14" s="16" t="str">
        <f t="shared" si="64"/>
        <v>-</v>
      </c>
      <c r="U14" s="16" t="str">
        <f t="shared" si="65"/>
        <v>-</v>
      </c>
      <c r="V14" s="17"/>
      <c r="W14" s="670"/>
      <c r="X14" s="24">
        <f ca="1">Horarios!C14</f>
        <v>46191.875</v>
      </c>
      <c r="Y14" s="25">
        <f ca="1">Horarios!C14</f>
        <v>46191.875</v>
      </c>
      <c r="Z14" s="26" t="str">
        <f>$Z$6</f>
        <v>J2</v>
      </c>
      <c r="AA14" s="27" t="str">
        <f ca="1">A16</f>
        <v>Suiza</v>
      </c>
      <c r="AB14" s="49" t="str" cm="1">
        <f t="array" aca="1" ref="AB14" ca="1">Ver_flag_local</f>
        <v>🇨🇭</v>
      </c>
      <c r="AC14" s="50"/>
      <c r="AD14" s="51"/>
      <c r="AE14" s="595" t="str" cm="1">
        <f t="array" aca="1" ref="AE14" ca="1">Ver_flag_visit</f>
        <v>🇧🇦</v>
      </c>
      <c r="AF14" s="32" t="str">
        <f ca="1">A14</f>
        <v>Bosnia y Herzegovina</v>
      </c>
      <c r="AG14" s="323">
        <f t="shared" si="66"/>
        <v>0</v>
      </c>
      <c r="AH14" s="195">
        <v>26</v>
      </c>
      <c r="AI14" s="181" t="str">
        <f>AJ14&amp;$B$12</f>
        <v>1B</v>
      </c>
      <c r="AJ14" s="71">
        <v>1</v>
      </c>
      <c r="AK14" s="601" t="str" cm="1">
        <f t="array" aca="1" ref="AK14" ca="1">Ver_flag_visit</f>
        <v>🇨🇦</v>
      </c>
      <c r="AL14" s="34" t="str">
        <f ca="1">IFERROR(INDEX($BD$6:$BD$53,MATCH(AI14,$BN$6:$BN$53,0)),"")</f>
        <v>Canadá</v>
      </c>
      <c r="AM14" s="35">
        <f t="shared" ref="AM14:AT17" ca="1" si="69">INDEX($BE$6:$BN$53,MATCH($AL14,$BD$6:$BD$53,0),MATCH(AM$5,$BE$5:$BN$5,0))</f>
        <v>0</v>
      </c>
      <c r="AN14" s="36">
        <f t="shared" ca="1" si="69"/>
        <v>0</v>
      </c>
      <c r="AO14" s="36">
        <f t="shared" ca="1" si="69"/>
        <v>0</v>
      </c>
      <c r="AP14" s="36">
        <f t="shared" ca="1" si="69"/>
        <v>0</v>
      </c>
      <c r="AQ14" s="36">
        <f t="shared" ca="1" si="69"/>
        <v>0</v>
      </c>
      <c r="AR14" s="36">
        <f t="shared" ca="1" si="69"/>
        <v>0</v>
      </c>
      <c r="AS14" s="36">
        <f t="shared" ca="1" si="69"/>
        <v>0</v>
      </c>
      <c r="AT14" s="72">
        <f t="shared" ca="1" si="69"/>
        <v>0</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0</v>
      </c>
      <c r="BF14" s="16">
        <f t="shared" ca="1" si="41"/>
        <v>0</v>
      </c>
      <c r="BG14" s="16">
        <f t="shared" ca="1" si="17"/>
        <v>0</v>
      </c>
      <c r="BH14" s="16">
        <f t="shared" ca="1" si="18"/>
        <v>0</v>
      </c>
      <c r="BI14" s="16">
        <f t="shared" ca="1" si="19"/>
        <v>0</v>
      </c>
      <c r="BJ14" s="16">
        <f t="shared" ca="1" si="20"/>
        <v>0</v>
      </c>
      <c r="BK14" s="16">
        <f t="shared" ca="1" si="21"/>
        <v>0</v>
      </c>
      <c r="BL14" s="16">
        <f t="shared" ca="1" si="42"/>
        <v>0</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0</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(4)</v>
      </c>
      <c r="BU14" s="16">
        <f t="shared" ca="1" si="24"/>
        <v>0</v>
      </c>
      <c r="BV14" s="16">
        <f t="shared" ca="1" si="25"/>
        <v>0</v>
      </c>
      <c r="BW14" s="16">
        <f t="shared" ca="1" si="26"/>
        <v>0</v>
      </c>
      <c r="BX14" s="16">
        <f t="shared" ca="1" si="48"/>
        <v>0</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(4)</v>
      </c>
      <c r="CA14" s="16">
        <f t="shared" ca="1" si="27"/>
        <v>0</v>
      </c>
      <c r="CB14" s="16">
        <f t="shared" ca="1" si="28"/>
        <v>0</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(4)</v>
      </c>
      <c r="CF14" s="16">
        <f t="shared" ca="1" si="29"/>
        <v>0</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(4)</v>
      </c>
      <c r="CI14" s="16">
        <f t="shared" ca="1" si="30"/>
        <v>0</v>
      </c>
      <c r="CJ14" s="16">
        <f t="shared" ca="1" si="31"/>
        <v>0</v>
      </c>
      <c r="CK14" s="16">
        <f t="shared" ca="1" si="32"/>
        <v>0</v>
      </c>
      <c r="CL14" s="16">
        <f t="shared" ca="1" si="50"/>
        <v>0</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(4)</v>
      </c>
      <c r="CO14" s="16">
        <f t="shared" ca="1" si="33"/>
        <v>0</v>
      </c>
      <c r="CP14" s="16">
        <f t="shared" ca="1" si="34"/>
        <v>0</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(4)</v>
      </c>
      <c r="CT14" s="16">
        <f t="shared" ca="1" si="35"/>
        <v>0</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(4)</v>
      </c>
      <c r="CW14" s="16">
        <f t="shared" ca="1" si="36"/>
        <v>0</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P.1 (4)</v>
      </c>
      <c r="CZ14" s="16">
        <f t="shared" ca="1" si="37"/>
        <v>0</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P.1 (4)</v>
      </c>
      <c r="DC14" s="16">
        <f ca="1">IF(DB14="-","-",COUNTIFS(T_Equipos[Rank],"&lt;"&amp;INDEX(T_Equipos[Rank],MATCH(BD14,T_Equipos[NombreEquipo],0)),$BC$6:$BC$53,INDEX(T_Equipos[Grupo],MATCH(BD14,T_Equipos[NombreEquipo],0)))+1)</f>
        <v>1</v>
      </c>
      <c r="DD14" s="16">
        <f ca="1">DA14+COUNTIFS($DB$6:$DB$53,DB14,$DC$6:DC$53,"&lt;"&amp;DC14,$BC$6:$BC$53,INDEX(T_Equipos[Grupo],MATCH(BD14,T_Equipos[NombreEquipo],0)))</f>
        <v>1</v>
      </c>
      <c r="DE14" s="16"/>
      <c r="DF14" s="16">
        <f t="shared" ca="1" si="52"/>
        <v>1</v>
      </c>
      <c r="DG14" s="16">
        <f ca="1">IF(DB14="-","-",COUNTIFS(DF$6:DF$53,"&lt;"&amp;DF14,$BC$6:$BC$53,INDEX(T_Equipos[Grupo],MATCH(BD14,T_Equipos[NombreEquipo],0))))</f>
        <v>0</v>
      </c>
      <c r="DH14" s="16">
        <f ca="1">DA14+COUNTIFS(DB$6:DB$53,DB14,DG$6:DG$53,"&lt;"&amp;DG14,$BC$6:$BC$53,INDEX(T_Equipos[Grupo],MATCH(BD14,T_Equipos[NombreEquipo],0)))</f>
        <v>1</v>
      </c>
      <c r="DI14" s="16"/>
      <c r="DJ14" s="16">
        <f t="shared" ca="1" si="38"/>
        <v>1</v>
      </c>
      <c r="DK14" s="16">
        <f t="shared" ca="1" si="39"/>
        <v>0</v>
      </c>
      <c r="DL14" s="16">
        <f t="shared" ca="1" si="40"/>
        <v>1</v>
      </c>
      <c r="DM14" s="16" t="str">
        <f t="shared" ca="1" si="46"/>
        <v>1.1</v>
      </c>
      <c r="DN14" s="16" cm="1">
        <f t="array" aca="1" ref="DN14" ca="1">OFFSET(Horarios!$P$3,DJ14-1,0,DL14,1)</f>
        <v>1</v>
      </c>
      <c r="DO14" s="16"/>
      <c r="DP14" s="16" t="s">
        <v>663</v>
      </c>
      <c r="DQ14" s="16" t="str">
        <f t="shared" ca="1" si="47"/>
        <v>Brasil</v>
      </c>
    </row>
    <row r="15" spans="1:121" ht="16" customHeight="1" x14ac:dyDescent="0.2">
      <c r="A15" s="16" t="str">
        <f ca="1">+Equipos!B8</f>
        <v>Catar</v>
      </c>
      <c r="B15" s="16"/>
      <c r="C15" s="16"/>
      <c r="D15" s="16" t="str">
        <f t="shared" si="53"/>
        <v>Pendiente</v>
      </c>
      <c r="E15" s="16" t="str">
        <f t="shared" si="54"/>
        <v>-</v>
      </c>
      <c r="F15" s="16" t="str">
        <f t="shared" si="55"/>
        <v>-</v>
      </c>
      <c r="G15" s="16"/>
      <c r="H15" s="16" t="str">
        <f t="shared" si="56"/>
        <v>-</v>
      </c>
      <c r="I15" s="16" t="str">
        <f t="shared" si="57"/>
        <v>-</v>
      </c>
      <c r="J15" s="16"/>
      <c r="K15" s="16" t="str">
        <f t="shared" si="58"/>
        <v>-</v>
      </c>
      <c r="L15" s="16" t="str">
        <f t="shared" si="59"/>
        <v>-</v>
      </c>
      <c r="M15" s="16"/>
      <c r="N15" s="16" t="str">
        <f t="shared" si="60"/>
        <v>-</v>
      </c>
      <c r="O15" s="16" t="str">
        <f t="shared" si="61"/>
        <v>-</v>
      </c>
      <c r="P15" s="16"/>
      <c r="Q15" s="16" t="str">
        <f t="shared" si="62"/>
        <v>-</v>
      </c>
      <c r="R15" s="16" t="str">
        <f t="shared" si="63"/>
        <v>-</v>
      </c>
      <c r="S15" s="16"/>
      <c r="T15" s="16" t="str">
        <f t="shared" si="64"/>
        <v>-</v>
      </c>
      <c r="U15" s="16" t="str">
        <f t="shared" si="65"/>
        <v>-</v>
      </c>
      <c r="V15" s="17"/>
      <c r="W15" s="670"/>
      <c r="X15" s="24">
        <f ca="1">Horarios!C15</f>
        <v>46192</v>
      </c>
      <c r="Y15" s="25">
        <f ca="1">Horarios!C15</f>
        <v>46192</v>
      </c>
      <c r="Z15" s="26" t="str">
        <f>$Z$6</f>
        <v>J2</v>
      </c>
      <c r="AA15" s="27" t="str">
        <f ca="1">A13</f>
        <v>Canadá</v>
      </c>
      <c r="AB15" s="49" t="str" cm="1">
        <f t="array" aca="1" ref="AB15" ca="1">Ver_flag_local</f>
        <v>🇨🇦</v>
      </c>
      <c r="AC15" s="50"/>
      <c r="AD15" s="51"/>
      <c r="AE15" s="595" t="str" cm="1">
        <f t="array" aca="1" ref="AE15" ca="1">Ver_flag_visit</f>
        <v>🇶🇦</v>
      </c>
      <c r="AF15" s="32" t="str">
        <f ca="1">A15</f>
        <v>Catar</v>
      </c>
      <c r="AG15" s="323">
        <f t="shared" si="66"/>
        <v>0</v>
      </c>
      <c r="AH15" s="195">
        <v>27</v>
      </c>
      <c r="AI15" s="181" t="str">
        <f t="shared" ref="AI15:AI17" si="70">AJ15&amp;$B$12</f>
        <v>2B</v>
      </c>
      <c r="AJ15" s="73">
        <v>2</v>
      </c>
      <c r="AK15" s="602" t="str" cm="1">
        <f t="array" aca="1" ref="AK15" ca="1">Ver_flag_visit</f>
        <v>🇧🇦</v>
      </c>
      <c r="AL15" s="37" t="str">
        <f ca="1">IFERROR(INDEX($BD$6:$BD$53,MATCH(AI15,$BN$6:$BN$53,0)),"")</f>
        <v>Bosnia y Herzegovina</v>
      </c>
      <c r="AM15" s="38">
        <f t="shared" ca="1" si="69"/>
        <v>0</v>
      </c>
      <c r="AN15" s="39">
        <f t="shared" ca="1" si="69"/>
        <v>0</v>
      </c>
      <c r="AO15" s="39">
        <f t="shared" ca="1" si="69"/>
        <v>0</v>
      </c>
      <c r="AP15" s="39">
        <f t="shared" ca="1" si="69"/>
        <v>0</v>
      </c>
      <c r="AQ15" s="39">
        <f t="shared" ca="1" si="69"/>
        <v>0</v>
      </c>
      <c r="AR15" s="39">
        <f t="shared" ca="1" si="69"/>
        <v>0</v>
      </c>
      <c r="AS15" s="39">
        <f t="shared" ca="1" si="69"/>
        <v>0</v>
      </c>
      <c r="AT15" s="74">
        <f t="shared" ca="1" si="69"/>
        <v>0</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0</v>
      </c>
      <c r="BF15" s="16">
        <f t="shared" ca="1" si="41"/>
        <v>0</v>
      </c>
      <c r="BG15" s="16">
        <f t="shared" ca="1" si="17"/>
        <v>0</v>
      </c>
      <c r="BH15" s="16">
        <f t="shared" ca="1" si="18"/>
        <v>0</v>
      </c>
      <c r="BI15" s="16">
        <f t="shared" ca="1" si="19"/>
        <v>0</v>
      </c>
      <c r="BJ15" s="16">
        <f t="shared" ca="1" si="20"/>
        <v>0</v>
      </c>
      <c r="BK15" s="16">
        <f t="shared" ca="1" si="21"/>
        <v>0</v>
      </c>
      <c r="BL15" s="16">
        <f t="shared" ca="1" si="42"/>
        <v>0</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0</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(4)</v>
      </c>
      <c r="BU15" s="16">
        <f t="shared" ca="1" si="24"/>
        <v>0</v>
      </c>
      <c r="BV15" s="16">
        <f t="shared" ca="1" si="25"/>
        <v>0</v>
      </c>
      <c r="BW15" s="16">
        <f t="shared" ca="1" si="26"/>
        <v>0</v>
      </c>
      <c r="BX15" s="16">
        <f t="shared" ca="1" si="48"/>
        <v>0</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(4)</v>
      </c>
      <c r="CA15" s="16">
        <f t="shared" ca="1" si="27"/>
        <v>0</v>
      </c>
      <c r="CB15" s="16">
        <f t="shared" ca="1" si="28"/>
        <v>0</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(4)</v>
      </c>
      <c r="CF15" s="16">
        <f t="shared" ca="1" si="29"/>
        <v>0</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(4)</v>
      </c>
      <c r="CI15" s="16">
        <f t="shared" ca="1" si="30"/>
        <v>0</v>
      </c>
      <c r="CJ15" s="16">
        <f t="shared" ca="1" si="31"/>
        <v>0</v>
      </c>
      <c r="CK15" s="16">
        <f t="shared" ca="1" si="32"/>
        <v>0</v>
      </c>
      <c r="CL15" s="16">
        <f t="shared" ca="1" si="50"/>
        <v>0</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(4)</v>
      </c>
      <c r="CO15" s="16">
        <f t="shared" ca="1" si="33"/>
        <v>0</v>
      </c>
      <c r="CP15" s="16">
        <f t="shared" ca="1" si="34"/>
        <v>0</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(4)</v>
      </c>
      <c r="CT15" s="16">
        <f t="shared" ca="1" si="35"/>
        <v>0</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(4)</v>
      </c>
      <c r="CW15" s="16">
        <f t="shared" ca="1" si="36"/>
        <v>0</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P.1 (4)</v>
      </c>
      <c r="CZ15" s="16">
        <f t="shared" ca="1" si="37"/>
        <v>0</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P.1 (4)</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1</v>
      </c>
      <c r="DK15" s="16">
        <f t="shared" ca="1" si="39"/>
        <v>0</v>
      </c>
      <c r="DL15" s="16">
        <f t="shared" ca="1" si="40"/>
        <v>1</v>
      </c>
      <c r="DM15" s="16" t="str">
        <f t="shared" ca="1" si="46"/>
        <v>1.1</v>
      </c>
      <c r="DN15" s="16" cm="1">
        <f t="array" aca="1" ref="DN15" ca="1">OFFSET(Horarios!$P$3,DJ15-1,0,DL15,1)</f>
        <v>1</v>
      </c>
      <c r="DO15" s="16"/>
      <c r="DP15" s="16" t="s">
        <v>668</v>
      </c>
      <c r="DQ15" s="16" t="str">
        <f t="shared" ca="1" si="47"/>
        <v>Marruecos</v>
      </c>
    </row>
    <row r="16" spans="1:121" ht="16" customHeight="1" x14ac:dyDescent="0.2">
      <c r="A16" s="16" t="str">
        <f ca="1">+Equipos!B9</f>
        <v>Suiza</v>
      </c>
      <c r="B16" s="16"/>
      <c r="C16" s="16"/>
      <c r="D16" s="16" t="str">
        <f t="shared" si="53"/>
        <v>Pendiente</v>
      </c>
      <c r="E16" s="16" t="str">
        <f t="shared" si="54"/>
        <v>-</v>
      </c>
      <c r="F16" s="16" t="str">
        <f t="shared" si="55"/>
        <v>-</v>
      </c>
      <c r="G16" s="16"/>
      <c r="H16" s="16" t="str">
        <f t="shared" si="56"/>
        <v>-</v>
      </c>
      <c r="I16" s="16" t="str">
        <f t="shared" si="57"/>
        <v>-</v>
      </c>
      <c r="J16" s="16"/>
      <c r="K16" s="16" t="str">
        <f t="shared" si="58"/>
        <v>-</v>
      </c>
      <c r="L16" s="16" t="str">
        <f t="shared" si="59"/>
        <v>-</v>
      </c>
      <c r="M16" s="16"/>
      <c r="N16" s="16" t="str">
        <f t="shared" si="60"/>
        <v>-</v>
      </c>
      <c r="O16" s="16" t="str">
        <f t="shared" si="61"/>
        <v>-</v>
      </c>
      <c r="P16" s="16"/>
      <c r="Q16" s="16" t="str">
        <f t="shared" si="62"/>
        <v>-</v>
      </c>
      <c r="R16" s="16" t="str">
        <f t="shared" si="63"/>
        <v>-</v>
      </c>
      <c r="S16" s="16"/>
      <c r="T16" s="16" t="str">
        <f t="shared" si="64"/>
        <v>-</v>
      </c>
      <c r="U16" s="16" t="str">
        <f t="shared" si="65"/>
        <v>-</v>
      </c>
      <c r="V16" s="17"/>
      <c r="W16" s="670"/>
      <c r="X16" s="24">
        <f ca="1">Horarios!C16</f>
        <v>46197.875</v>
      </c>
      <c r="Y16" s="25">
        <f ca="1">Horarios!C16</f>
        <v>46197.875</v>
      </c>
      <c r="Z16" s="26" t="str">
        <f>$Z$8</f>
        <v>J3</v>
      </c>
      <c r="AA16" s="27" t="str">
        <f ca="1">A16</f>
        <v>Suiza</v>
      </c>
      <c r="AB16" s="49" t="str" cm="1">
        <f t="array" aca="1" ref="AB16" ca="1">Ver_flag_local</f>
        <v>🇨🇭</v>
      </c>
      <c r="AC16" s="50"/>
      <c r="AD16" s="51"/>
      <c r="AE16" s="595" t="str" cm="1">
        <f t="array" aca="1" ref="AE16" ca="1">Ver_flag_visit</f>
        <v>🇨🇦</v>
      </c>
      <c r="AF16" s="32" t="str">
        <f ca="1">A13</f>
        <v>Canadá</v>
      </c>
      <c r="AG16" s="323">
        <f t="shared" si="66"/>
        <v>0</v>
      </c>
      <c r="AH16" s="195">
        <v>51</v>
      </c>
      <c r="AI16" s="181" t="str">
        <f t="shared" si="70"/>
        <v>3B</v>
      </c>
      <c r="AJ16" s="73">
        <v>3</v>
      </c>
      <c r="AK16" s="602" t="str" cm="1">
        <f t="array" aca="1" ref="AK16" ca="1">Ver_flag_visit</f>
        <v>🇶🇦</v>
      </c>
      <c r="AL16" s="37" t="str">
        <f ca="1">IFERROR(INDEX($BD$6:$BD$53,MATCH(AI16,$BN$6:$BN$53,0)),"")</f>
        <v>Catar</v>
      </c>
      <c r="AM16" s="38">
        <f t="shared" ca="1" si="69"/>
        <v>0</v>
      </c>
      <c r="AN16" s="39">
        <f t="shared" ca="1" si="69"/>
        <v>0</v>
      </c>
      <c r="AO16" s="39">
        <f t="shared" ca="1" si="69"/>
        <v>0</v>
      </c>
      <c r="AP16" s="39">
        <f t="shared" ca="1" si="69"/>
        <v>0</v>
      </c>
      <c r="AQ16" s="39">
        <f t="shared" ca="1" si="69"/>
        <v>0</v>
      </c>
      <c r="AR16" s="39">
        <f t="shared" ca="1" si="69"/>
        <v>0</v>
      </c>
      <c r="AS16" s="39">
        <f t="shared" ca="1" si="69"/>
        <v>0</v>
      </c>
      <c r="AT16" s="74">
        <f t="shared" ca="1" si="69"/>
        <v>0</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0</v>
      </c>
      <c r="BG16" s="16">
        <f t="shared" ca="1" si="17"/>
        <v>0</v>
      </c>
      <c r="BH16" s="16">
        <f t="shared" ca="1" si="18"/>
        <v>0</v>
      </c>
      <c r="BI16" s="16">
        <f t="shared" ca="1" si="19"/>
        <v>0</v>
      </c>
      <c r="BJ16" s="16">
        <f t="shared" ca="1" si="20"/>
        <v>0</v>
      </c>
      <c r="BK16" s="16">
        <f t="shared" ca="1" si="21"/>
        <v>0</v>
      </c>
      <c r="BL16" s="16">
        <f t="shared" ca="1" si="42"/>
        <v>0</v>
      </c>
      <c r="BM16" s="16" t="str">
        <f t="shared" ca="1" si="22"/>
        <v>3C</v>
      </c>
      <c r="BN16" s="16" t="str">
        <f t="shared" ca="1" si="23"/>
        <v>3C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1</v>
      </c>
      <c r="BT16" s="16" t="str">
        <f ca="1">IF(COUNTIFS($BS$6:$BS$53,BS16,$BC$6:$BC$53,INDEX(T_Equipos[Grupo],MATCH(BD16,T_Equipos[NombreEquipo],0)))=1,"-","P."&amp;BS16&amp;" ("&amp;COUNTIFS($BS$6:$BS$53,BS16,$BC$6:$BC$53,INDEX(T_Equipos[Grupo],MATCH(BD16,T_Equipos[NombreEquipo],0)))&amp;")")</f>
        <v>P.1 (4)</v>
      </c>
      <c r="BU16" s="16">
        <f t="shared" ca="1" si="24"/>
        <v>0</v>
      </c>
      <c r="BV16" s="16">
        <f t="shared" ca="1" si="25"/>
        <v>0</v>
      </c>
      <c r="BW16" s="16">
        <f t="shared" ca="1" si="26"/>
        <v>0</v>
      </c>
      <c r="BX16" s="16">
        <f t="shared" ca="1" si="48"/>
        <v>0</v>
      </c>
      <c r="BY16" s="16">
        <f ca="1">BS16+COUNTIFS($BT$6:$BT$53,BT16,$BX$6:BX$53,"&gt;"&amp;BX16,$BC$6:$BC$53,INDEX(T_Equipos[Grupo],MATCH(BD16,T_Equipos[NombreEquipo],0)))</f>
        <v>1</v>
      </c>
      <c r="BZ16" s="16" t="str">
        <f ca="1">IF(COUNTIFS($BY$6:$BY$53,BY16,$BC$6:$BC$53,INDEX(T_Equipos[Grupo],MATCH(BD16,T_Equipos[NombreEquipo],0)))=1,"-","P."&amp;BY16&amp;" ("&amp;COUNTIFS($BY$6:$BY$53,BY16,$BC$6:$BC$53,INDEX(T_Equipos[Grupo],MATCH(BD16,T_Equipos[NombreEquipo],0)))&amp;")")</f>
        <v>P.1 (4)</v>
      </c>
      <c r="CA16" s="16">
        <f t="shared" ca="1" si="27"/>
        <v>0</v>
      </c>
      <c r="CB16" s="16">
        <f t="shared" ca="1" si="28"/>
        <v>0</v>
      </c>
      <c r="CC16" s="16">
        <f t="shared" ca="1" si="49"/>
        <v>0</v>
      </c>
      <c r="CD16" s="16">
        <f ca="1">BY16+COUNTIFS($BZ$6:$BZ$53,BZ16,$CC$6:CC$53,"&gt;"&amp;CC16,$BC$6:$BC$53,INDEX(T_Equipos[Grupo],MATCH(BD16,T_Equipos[NombreEquipo],0)))</f>
        <v>1</v>
      </c>
      <c r="CE16" s="16" t="str">
        <f ca="1">IF(COUNTIFS($CD$6:$CD$53,CD16,$BC$6:$BC$53,INDEX(T_Equipos[Grupo],MATCH(BD16,T_Equipos[NombreEquipo],0)))=1,"-","P."&amp;CD16&amp;" ("&amp;COUNTIFS($CD$6:$CD$53,CD16,$BC$6:$BC$53,INDEX(T_Equipos[Grupo],MATCH(BD16,T_Equipos[NombreEquipo],0)))&amp;")")</f>
        <v>P.1 (4)</v>
      </c>
      <c r="CF16" s="16">
        <f t="shared" ca="1" si="29"/>
        <v>0</v>
      </c>
      <c r="CG16" s="16">
        <f ca="1">CD16+COUNTIFS($CE$6:$CE$53,CE16,$CF$6:CF$53,"&gt;"&amp;CF16,$BC$6:$BC$53,INDEX(T_Equipos[Grupo],MATCH(BD16,T_Equipos[NombreEquipo],0)))</f>
        <v>1</v>
      </c>
      <c r="CH16" s="16" t="str">
        <f ca="1">IF(COUNTIFS($CG$6:$CG$53,CG16,$BC$6:$BC$53,INDEX(T_Equipos[Grupo],MATCH(BD16,T_Equipos[NombreEquipo],0)))=1,"-","P."&amp;CG16&amp;" ("&amp;COUNTIFS($CG$6:$CG$53,CG16,$BC$6:$BC$53,INDEX(T_Equipos[Grupo],MATCH(BD16,T_Equipos[NombreEquipo],0)))&amp;")")</f>
        <v>P.1 (4)</v>
      </c>
      <c r="CI16" s="16">
        <f t="shared" ca="1" si="30"/>
        <v>0</v>
      </c>
      <c r="CJ16" s="16">
        <f t="shared" ca="1" si="31"/>
        <v>0</v>
      </c>
      <c r="CK16" s="16">
        <f t="shared" ca="1" si="32"/>
        <v>0</v>
      </c>
      <c r="CL16" s="16">
        <f t="shared" ca="1" si="50"/>
        <v>0</v>
      </c>
      <c r="CM16" s="16">
        <f ca="1">CG16+COUNTIFS($CH$6:$CH$53,CH16,$CL$6:CL$53,"&gt;"&amp;CL16,$BC$6:$BC$53,INDEX(T_Equipos[Grupo],MATCH(BD16,T_Equipos[NombreEquipo],0)))</f>
        <v>1</v>
      </c>
      <c r="CN16" s="16" t="str">
        <f ca="1">IF(COUNTIFS($CM$6:$CM$53,CM16,$BC$6:$BC$53,INDEX(T_Equipos[Grupo],MATCH(BD16,T_Equipos[NombreEquipo],0)))=1,"-","P."&amp;CM16&amp;" ("&amp;COUNTIFS($CM$6:$CM$53,CM16,$BC$6:$BC$53,INDEX(T_Equipos[Grupo],MATCH(BD16,T_Equipos[NombreEquipo],0)))&amp;")")</f>
        <v>P.1 (4)</v>
      </c>
      <c r="CO16" s="16">
        <f t="shared" ca="1" si="33"/>
        <v>0</v>
      </c>
      <c r="CP16" s="16">
        <f t="shared" ca="1" si="34"/>
        <v>0</v>
      </c>
      <c r="CQ16" s="16">
        <f t="shared" ca="1" si="51"/>
        <v>0</v>
      </c>
      <c r="CR16" s="16">
        <f ca="1">CM16+COUNTIFS($CN$6:$CN$53,CN16,$CQ$6:CQ$53,"&gt;"&amp;CQ16,$BC$6:$BC$53,INDEX(T_Equipos[Grupo],MATCH(BD16,T_Equipos[NombreEquipo],0)))</f>
        <v>1</v>
      </c>
      <c r="CS16" s="16" t="str">
        <f ca="1">IF(COUNTIFS($CR$6:$CR$53,CR16,$BC$6:$BC$53,INDEX(T_Equipos[Grupo],MATCH(BD16,T_Equipos[NombreEquipo],0)))=1,"-","P."&amp;CR16&amp;" ("&amp;COUNTIFS($CR$6:$CR$53,CR16,$BC$6:$BC$53,INDEX(T_Equipos[Grupo],MATCH(BD16,T_Equipos[NombreEquipo],0)))&amp;")")</f>
        <v>P.1 (4)</v>
      </c>
      <c r="CT16" s="16">
        <f t="shared" ca="1" si="35"/>
        <v>0</v>
      </c>
      <c r="CU16" s="16">
        <f ca="1">CR16+COUNTIFS($CS$6:$CS$53,CS16,$CT$6:CT$53,"&gt;"&amp;CT16,$BC$6:$BC$53,INDEX(T_Equipos[Grupo],MATCH(BD16,T_Equipos[NombreEquipo],0)))</f>
        <v>1</v>
      </c>
      <c r="CV16" s="16" t="str">
        <f ca="1">IF(COUNTIFS($CU$6:$CU$53,CU16,$BC$6:$BC$53,INDEX(T_Equipos[Grupo],MATCH(BD16,T_Equipos[NombreEquipo],0)))=1,"-","P."&amp;CU16&amp;" ("&amp;COUNTIFS($CU$6:$CU$53,CU16,$BC$6:$BC$53,INDEX(T_Equipos[Grupo],MATCH(BD16,T_Equipos[NombreEquipo],0)))&amp;")")</f>
        <v>P.1 (4)</v>
      </c>
      <c r="CW16" s="16">
        <f t="shared" ca="1" si="36"/>
        <v>0</v>
      </c>
      <c r="CX16" s="16">
        <f ca="1">CU16+COUNTIFS($CV$6:$CV$53,CV16,$CW$6:CW$53,"&gt;"&amp;CW16,$BC$6:$BC$53,INDEX(T_Equipos[Grupo],MATCH(BD16,T_Equipos[NombreEquipo],0)))</f>
        <v>1</v>
      </c>
      <c r="CY16" s="16" t="str">
        <f ca="1">IF(COUNTIFS($CX$6:$CX$53,CX16,$BC$6:$BC$53,INDEX(T_Equipos[Grupo],MATCH(BD16,T_Equipos[NombreEquipo],0)))=1,"-","P."&amp;CX16&amp;" ("&amp;COUNTIFS($CX$6:$CX$53,CX16,$BC$6:$BC$53,INDEX(T_Equipos[Grupo],MATCH(BD16,T_Equipos[NombreEquipo],0)))&amp;")")</f>
        <v>P.1 (4)</v>
      </c>
      <c r="CZ16" s="16">
        <f t="shared" ca="1" si="37"/>
        <v>0</v>
      </c>
      <c r="DA16" s="16">
        <f ca="1">CX16+COUNTIFS($CY$6:$CY$53,CY16,$CZ$6:CZ$53,"&gt;"&amp;CZ16,$BC$6:$BC$53,INDEX(T_Equipos[Grupo],MATCH(BD16,T_Equipos[NombreEquipo],0)))</f>
        <v>1</v>
      </c>
      <c r="DB16" s="16" t="str">
        <f ca="1">IF(COUNTIFS($DA$6:$DA$53,DA16,$BC$6:$BC$53,INDEX(T_Equipos[Grupo],MATCH(BD16,T_Equipos[NombreEquipo],0)))=1,"-","P."&amp;DA16&amp;" ("&amp;COUNTIFS($DA$6:$DA$53,DA16,$BC$6:$BC$53,INDEX(T_Equipos[Grupo],MATCH(BD16,T_Equipos[NombreEquipo],0)))&amp;")")</f>
        <v>P.1 (4)</v>
      </c>
      <c r="DC16" s="16">
        <f ca="1">IF(DB16="-","-",COUNTIFS(T_Equipos[Rank],"&lt;"&amp;INDEX(T_Equipos[Rank],MATCH(BD16,T_Equipos[NombreEquipo],0)),$BC$6:$BC$53,INDEX(T_Equipos[Grupo],MATCH(BD16,T_Equipos[NombreEquipo],0)))+1)</f>
        <v>3</v>
      </c>
      <c r="DD16" s="16">
        <f ca="1">DA16+COUNTIFS($DB$6:$DB$53,DB16,$DC$6:DC$53,"&lt;"&amp;DC16,$BC$6:$BC$53,INDEX(T_Equipos[Grupo],MATCH(BD16,T_Equipos[NombreEquipo],0)))</f>
        <v>3</v>
      </c>
      <c r="DE16" s="16"/>
      <c r="DF16" s="16">
        <f t="shared" ca="1" si="52"/>
        <v>3</v>
      </c>
      <c r="DG16" s="16">
        <f ca="1">IF(DB16="-","-",COUNTIFS(DF$6:DF$53,"&lt;"&amp;DF16,$BC$6:$BC$53,INDEX(T_Equipos[Grupo],MATCH(BD16,T_Equipos[NombreEquipo],0))))</f>
        <v>2</v>
      </c>
      <c r="DH16" s="16">
        <f ca="1">DA16+COUNTIFS(DB$6:DB$53,DB16,DG$6:DG$53,"&lt;"&amp;DG16,$BC$6:$BC$53,INDEX(T_Equipos[Grupo],MATCH(BD16,T_Equipos[NombreEquipo],0)))</f>
        <v>3</v>
      </c>
      <c r="DI16" s="16"/>
      <c r="DJ16" s="16">
        <f t="shared" ca="1" si="38"/>
        <v>1</v>
      </c>
      <c r="DK16" s="16">
        <f t="shared" ca="1" si="39"/>
        <v>0</v>
      </c>
      <c r="DL16" s="16">
        <f t="shared" ca="1" si="40"/>
        <v>1</v>
      </c>
      <c r="DM16" s="16" t="str">
        <f t="shared" ca="1" si="46"/>
        <v>1.1</v>
      </c>
      <c r="DN16" s="16" cm="1">
        <f t="array" aca="1" ref="DN16" ca="1">OFFSET(Horarios!$P$3,DJ16-1,0,DL16,1)</f>
        <v>1</v>
      </c>
      <c r="DO16" s="16"/>
      <c r="DP16" s="16" t="s">
        <v>92</v>
      </c>
      <c r="DQ16" s="16" t="str">
        <f t="shared" ca="1" si="47"/>
        <v>Haití</v>
      </c>
    </row>
    <row r="17" spans="1:121" ht="16" customHeight="1" thickBot="1" x14ac:dyDescent="0.25">
      <c r="A17" s="16"/>
      <c r="B17" s="16"/>
      <c r="C17" s="16"/>
      <c r="D17" s="16" t="str">
        <f t="shared" si="53"/>
        <v>Pendiente</v>
      </c>
      <c r="E17" s="16" t="str">
        <f t="shared" si="54"/>
        <v>-</v>
      </c>
      <c r="F17" s="16" t="str">
        <f t="shared" si="55"/>
        <v>-</v>
      </c>
      <c r="G17" s="16"/>
      <c r="H17" s="16" t="str">
        <f t="shared" si="56"/>
        <v>-</v>
      </c>
      <c r="I17" s="16" t="str">
        <f t="shared" si="57"/>
        <v>-</v>
      </c>
      <c r="J17" s="16"/>
      <c r="K17" s="16" t="str">
        <f t="shared" si="58"/>
        <v>-</v>
      </c>
      <c r="L17" s="16" t="str">
        <f t="shared" si="59"/>
        <v>-</v>
      </c>
      <c r="M17" s="16"/>
      <c r="N17" s="16" t="str">
        <f t="shared" si="60"/>
        <v>-</v>
      </c>
      <c r="O17" s="16" t="str">
        <f t="shared" si="61"/>
        <v>-</v>
      </c>
      <c r="P17" s="16"/>
      <c r="Q17" s="16" t="str">
        <f t="shared" si="62"/>
        <v>-</v>
      </c>
      <c r="R17" s="16" t="str">
        <f t="shared" si="63"/>
        <v>-</v>
      </c>
      <c r="S17" s="16"/>
      <c r="T17" s="16" t="str">
        <f t="shared" si="64"/>
        <v>-</v>
      </c>
      <c r="U17" s="16" t="str">
        <f t="shared" si="65"/>
        <v>-</v>
      </c>
      <c r="V17" s="17"/>
      <c r="W17" s="671"/>
      <c r="X17" s="28">
        <f ca="1">Horarios!C17</f>
        <v>46197.875</v>
      </c>
      <c r="Y17" s="29">
        <f ca="1">Horarios!C17</f>
        <v>46197.875</v>
      </c>
      <c r="Z17" s="30" t="str">
        <f>$Z$8</f>
        <v>J3</v>
      </c>
      <c r="AA17" s="31" t="str">
        <f ca="1">A14</f>
        <v>Bosnia y Herzegovina</v>
      </c>
      <c r="AB17" s="52" t="str" cm="1">
        <f t="array" aca="1" ref="AB17" ca="1">Ver_flag_local</f>
        <v>🇧🇦</v>
      </c>
      <c r="AC17" s="53"/>
      <c r="AD17" s="54"/>
      <c r="AE17" s="596" t="str" cm="1">
        <f t="array" aca="1" ref="AE17" ca="1">Ver_flag_visit</f>
        <v>🇶🇦</v>
      </c>
      <c r="AF17" s="33" t="str">
        <f ca="1">A15</f>
        <v>Catar</v>
      </c>
      <c r="AG17" s="323">
        <f t="shared" si="66"/>
        <v>0</v>
      </c>
      <c r="AH17" s="195">
        <v>52</v>
      </c>
      <c r="AI17" s="181" t="str">
        <f t="shared" si="70"/>
        <v>4B</v>
      </c>
      <c r="AJ17" s="75">
        <v>4</v>
      </c>
      <c r="AK17" s="603" t="str" cm="1">
        <f t="array" aca="1" ref="AK17" ca="1">Ver_flag_visit</f>
        <v>🇨🇭</v>
      </c>
      <c r="AL17" s="76" t="str">
        <f ca="1">IFERROR(INDEX($BD$6:$BD$53,MATCH(AI17,$BN$6:$BN$53,0)),"")</f>
        <v>Suiza</v>
      </c>
      <c r="AM17" s="77">
        <f t="shared" ca="1" si="69"/>
        <v>0</v>
      </c>
      <c r="AN17" s="78">
        <f t="shared" ca="1" si="69"/>
        <v>0</v>
      </c>
      <c r="AO17" s="78">
        <f t="shared" ca="1" si="69"/>
        <v>0</v>
      </c>
      <c r="AP17" s="78">
        <f t="shared" ca="1" si="69"/>
        <v>0</v>
      </c>
      <c r="AQ17" s="78">
        <f t="shared" ca="1" si="69"/>
        <v>0</v>
      </c>
      <c r="AR17" s="78">
        <f t="shared" ca="1" si="69"/>
        <v>0</v>
      </c>
      <c r="AS17" s="78">
        <f t="shared" ca="1" si="69"/>
        <v>0</v>
      </c>
      <c r="AT17" s="79">
        <f t="shared" ca="1" si="69"/>
        <v>0</v>
      </c>
      <c r="AU17" s="330">
        <f ca="1">INDEX($DL$6:$DL$53,MATCH(AI17,$DP$6:$DP$53,0))</f>
        <v>1</v>
      </c>
      <c r="AV17" s="182" t="str">
        <f ca="1">INDEX($BD$6:$BD$53,MATCH(AI17,$BM$6:$BM$53,0))</f>
        <v>Suiza</v>
      </c>
      <c r="AW17" s="210"/>
      <c r="AX17" s="171"/>
      <c r="AY17" s="205" t="str">
        <f ca="1">+A16</f>
        <v>Suiza</v>
      </c>
      <c r="AZ17" s="206"/>
      <c r="BA17" s="176"/>
      <c r="BC17" s="16" t="str">
        <f ca="1">+INDEX(T_Equipos[Grupo],MATCH(WORLDCUP!BD17,T_Equipos[NombreEquipo],0))</f>
        <v>C</v>
      </c>
      <c r="BD17" s="16" t="str">
        <f ca="1">+Equipos!B13</f>
        <v>Escocia</v>
      </c>
      <c r="BE17" s="16">
        <f t="shared" ca="1" si="16"/>
        <v>0</v>
      </c>
      <c r="BF17" s="16">
        <f t="shared" ca="1" si="41"/>
        <v>0</v>
      </c>
      <c r="BG17" s="16">
        <f t="shared" ca="1" si="17"/>
        <v>0</v>
      </c>
      <c r="BH17" s="16">
        <f t="shared" ca="1" si="18"/>
        <v>0</v>
      </c>
      <c r="BI17" s="16">
        <f t="shared" ca="1" si="19"/>
        <v>0</v>
      </c>
      <c r="BJ17" s="16">
        <f t="shared" ca="1" si="20"/>
        <v>0</v>
      </c>
      <c r="BK17" s="16">
        <f t="shared" ca="1" si="21"/>
        <v>0</v>
      </c>
      <c r="BL17" s="16">
        <f t="shared" ca="1" si="42"/>
        <v>0</v>
      </c>
      <c r="BM17" s="16" t="str">
        <f t="shared" ca="1" si="22"/>
        <v>4C</v>
      </c>
      <c r="BN17" s="16" t="str">
        <f t="shared" ca="1" si="23"/>
        <v>4C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0</v>
      </c>
      <c r="BS17" s="16">
        <f ca="1">BP17+COUNTIFS($BQ$6:$BQ$53,BQ17,$BR$6:BR$53,"&gt;"&amp;BR17,$BC$6:$BC$53,INDEX(T_Equipos[Grupo],MATCH(BD17,T_Equipos[NombreEquipo],0)))</f>
        <v>1</v>
      </c>
      <c r="BT17" s="16" t="str">
        <f ca="1">IF(COUNTIFS($BS$6:$BS$53,BS17,$BC$6:$BC$53,INDEX(T_Equipos[Grupo],MATCH(BD17,T_Equipos[NombreEquipo],0)))=1,"-","P."&amp;BS17&amp;" ("&amp;COUNTIFS($BS$6:$BS$53,BS17,$BC$6:$BC$53,INDEX(T_Equipos[Grupo],MATCH(BD17,T_Equipos[NombreEquipo],0)))&amp;")")</f>
        <v>P.1 (4)</v>
      </c>
      <c r="BU17" s="16">
        <f t="shared" ca="1" si="24"/>
        <v>0</v>
      </c>
      <c r="BV17" s="16">
        <f t="shared" ca="1" si="25"/>
        <v>0</v>
      </c>
      <c r="BW17" s="16">
        <f t="shared" ca="1" si="26"/>
        <v>0</v>
      </c>
      <c r="BX17" s="16">
        <f t="shared" ca="1" si="48"/>
        <v>0</v>
      </c>
      <c r="BY17" s="16">
        <f ca="1">BS17+COUNTIFS($BT$6:$BT$53,BT17,$BX$6:BX$53,"&gt;"&amp;BX17,$BC$6:$BC$53,INDEX(T_Equipos[Grupo],MATCH(BD17,T_Equipos[NombreEquipo],0)))</f>
        <v>1</v>
      </c>
      <c r="BZ17" s="16" t="str">
        <f ca="1">IF(COUNTIFS($BY$6:$BY$53,BY17,$BC$6:$BC$53,INDEX(T_Equipos[Grupo],MATCH(BD17,T_Equipos[NombreEquipo],0)))=1,"-","P."&amp;BY17&amp;" ("&amp;COUNTIFS($BY$6:$BY$53,BY17,$BC$6:$BC$53,INDEX(T_Equipos[Grupo],MATCH(BD17,T_Equipos[NombreEquipo],0)))&amp;")")</f>
        <v>P.1 (4)</v>
      </c>
      <c r="CA17" s="16">
        <f t="shared" ca="1" si="27"/>
        <v>0</v>
      </c>
      <c r="CB17" s="16">
        <f t="shared" ca="1" si="28"/>
        <v>0</v>
      </c>
      <c r="CC17" s="16">
        <f t="shared" ca="1" si="49"/>
        <v>0</v>
      </c>
      <c r="CD17" s="16">
        <f ca="1">BY17+COUNTIFS($BZ$6:$BZ$53,BZ17,$CC$6:CC$53,"&gt;"&amp;CC17,$BC$6:$BC$53,INDEX(T_Equipos[Grupo],MATCH(BD17,T_Equipos[NombreEquipo],0)))</f>
        <v>1</v>
      </c>
      <c r="CE17" s="16" t="str">
        <f ca="1">IF(COUNTIFS($CD$6:$CD$53,CD17,$BC$6:$BC$53,INDEX(T_Equipos[Grupo],MATCH(BD17,T_Equipos[NombreEquipo],0)))=1,"-","P."&amp;CD17&amp;" ("&amp;COUNTIFS($CD$6:$CD$53,CD17,$BC$6:$BC$53,INDEX(T_Equipos[Grupo],MATCH(BD17,T_Equipos[NombreEquipo],0)))&amp;")")</f>
        <v>P.1 (4)</v>
      </c>
      <c r="CF17" s="16">
        <f t="shared" ca="1" si="29"/>
        <v>0</v>
      </c>
      <c r="CG17" s="16">
        <f ca="1">CD17+COUNTIFS($CE$6:$CE$53,CE17,$CF$6:CF$53,"&gt;"&amp;CF17,$BC$6:$BC$53,INDEX(T_Equipos[Grupo],MATCH(BD17,T_Equipos[NombreEquipo],0)))</f>
        <v>1</v>
      </c>
      <c r="CH17" s="16" t="str">
        <f ca="1">IF(COUNTIFS($CG$6:$CG$53,CG17,$BC$6:$BC$53,INDEX(T_Equipos[Grupo],MATCH(BD17,T_Equipos[NombreEquipo],0)))=1,"-","P."&amp;CG17&amp;" ("&amp;COUNTIFS($CG$6:$CG$53,CG17,$BC$6:$BC$53,INDEX(T_Equipos[Grupo],MATCH(BD17,T_Equipos[NombreEquipo],0)))&amp;")")</f>
        <v>P.1 (4)</v>
      </c>
      <c r="CI17" s="16">
        <f t="shared" ca="1" si="30"/>
        <v>0</v>
      </c>
      <c r="CJ17" s="16">
        <f t="shared" ca="1" si="31"/>
        <v>0</v>
      </c>
      <c r="CK17" s="16">
        <f t="shared" ca="1" si="32"/>
        <v>0</v>
      </c>
      <c r="CL17" s="16">
        <f t="shared" ca="1" si="50"/>
        <v>0</v>
      </c>
      <c r="CM17" s="16">
        <f ca="1">CG17+COUNTIFS($CH$6:$CH$53,CH17,$CL$6:CL$53,"&gt;"&amp;CL17,$BC$6:$BC$53,INDEX(T_Equipos[Grupo],MATCH(BD17,T_Equipos[NombreEquipo],0)))</f>
        <v>1</v>
      </c>
      <c r="CN17" s="16" t="str">
        <f ca="1">IF(COUNTIFS($CM$6:$CM$53,CM17,$BC$6:$BC$53,INDEX(T_Equipos[Grupo],MATCH(BD17,T_Equipos[NombreEquipo],0)))=1,"-","P."&amp;CM17&amp;" ("&amp;COUNTIFS($CM$6:$CM$53,CM17,$BC$6:$BC$53,INDEX(T_Equipos[Grupo],MATCH(BD17,T_Equipos[NombreEquipo],0)))&amp;")")</f>
        <v>P.1 (4)</v>
      </c>
      <c r="CO17" s="16">
        <f t="shared" ca="1" si="33"/>
        <v>0</v>
      </c>
      <c r="CP17" s="16">
        <f t="shared" ca="1" si="34"/>
        <v>0</v>
      </c>
      <c r="CQ17" s="16">
        <f t="shared" ca="1" si="51"/>
        <v>0</v>
      </c>
      <c r="CR17" s="16">
        <f ca="1">CM17+COUNTIFS($CN$6:$CN$53,CN17,$CQ$6:CQ$53,"&gt;"&amp;CQ17,$BC$6:$BC$53,INDEX(T_Equipos[Grupo],MATCH(BD17,T_Equipos[NombreEquipo],0)))</f>
        <v>1</v>
      </c>
      <c r="CS17" s="16" t="str">
        <f ca="1">IF(COUNTIFS($CR$6:$CR$53,CR17,$BC$6:$BC$53,INDEX(T_Equipos[Grupo],MATCH(BD17,T_Equipos[NombreEquipo],0)))=1,"-","P."&amp;CR17&amp;" ("&amp;COUNTIFS($CR$6:$CR$53,CR17,$BC$6:$BC$53,INDEX(T_Equipos[Grupo],MATCH(BD17,T_Equipos[NombreEquipo],0)))&amp;")")</f>
        <v>P.1 (4)</v>
      </c>
      <c r="CT17" s="16">
        <f t="shared" ca="1" si="35"/>
        <v>0</v>
      </c>
      <c r="CU17" s="16">
        <f ca="1">CR17+COUNTIFS($CS$6:$CS$53,CS17,$CT$6:CT$53,"&gt;"&amp;CT17,$BC$6:$BC$53,INDEX(T_Equipos[Grupo],MATCH(BD17,T_Equipos[NombreEquipo],0)))</f>
        <v>1</v>
      </c>
      <c r="CV17" s="16" t="str">
        <f ca="1">IF(COUNTIFS($CU$6:$CU$53,CU17,$BC$6:$BC$53,INDEX(T_Equipos[Grupo],MATCH(BD17,T_Equipos[NombreEquipo],0)))=1,"-","P."&amp;CU17&amp;" ("&amp;COUNTIFS($CU$6:$CU$53,CU17,$BC$6:$BC$53,INDEX(T_Equipos[Grupo],MATCH(BD17,T_Equipos[NombreEquipo],0)))&amp;")")</f>
        <v>P.1 (4)</v>
      </c>
      <c r="CW17" s="16">
        <f t="shared" ca="1" si="36"/>
        <v>0</v>
      </c>
      <c r="CX17" s="16">
        <f ca="1">CU17+COUNTIFS($CV$6:$CV$53,CV17,$CW$6:CW$53,"&gt;"&amp;CW17,$BC$6:$BC$53,INDEX(T_Equipos[Grupo],MATCH(BD17,T_Equipos[NombreEquipo],0)))</f>
        <v>1</v>
      </c>
      <c r="CY17" s="16" t="str">
        <f ca="1">IF(COUNTIFS($CX$6:$CX$53,CX17,$BC$6:$BC$53,INDEX(T_Equipos[Grupo],MATCH(BD17,T_Equipos[NombreEquipo],0)))=1,"-","P."&amp;CX17&amp;" ("&amp;COUNTIFS($CX$6:$CX$53,CX17,$BC$6:$BC$53,INDEX(T_Equipos[Grupo],MATCH(BD17,T_Equipos[NombreEquipo],0)))&amp;")")</f>
        <v>P.1 (4)</v>
      </c>
      <c r="CZ17" s="16">
        <f t="shared" ca="1" si="37"/>
        <v>0</v>
      </c>
      <c r="DA17" s="16">
        <f ca="1">CX17+COUNTIFS($CY$6:$CY$53,CY17,$CZ$6:CZ$53,"&gt;"&amp;CZ17,$BC$6:$BC$53,INDEX(T_Equipos[Grupo],MATCH(BD17,T_Equipos[NombreEquipo],0)))</f>
        <v>1</v>
      </c>
      <c r="DB17" s="16" t="str">
        <f ca="1">IF(COUNTIFS($DA$6:$DA$53,DA17,$BC$6:$BC$53,INDEX(T_Equipos[Grupo],MATCH(BD17,T_Equipos[NombreEquipo],0)))=1,"-","P."&amp;DA17&amp;" ("&amp;COUNTIFS($DA$6:$DA$53,DA17,$BC$6:$BC$53,INDEX(T_Equipos[Grupo],MATCH(BD17,T_Equipos[NombreEquipo],0)))&amp;")")</f>
        <v>P.1 (4)</v>
      </c>
      <c r="DC17" s="16">
        <f ca="1">IF(DB17="-","-",COUNTIFS(T_Equipos[Rank],"&lt;"&amp;INDEX(T_Equipos[Rank],MATCH(BD17,T_Equipos[NombreEquipo],0)),$BC$6:$BC$53,INDEX(T_Equipos[Grupo],MATCH(BD17,T_Equipos[NombreEquipo],0)))+1)</f>
        <v>4</v>
      </c>
      <c r="DD17" s="16">
        <f ca="1">DA17+COUNTIFS($DB$6:$DB$53,DB17,$DC$6:DC$53,"&lt;"&amp;DC17,$BC$6:$BC$53,INDEX(T_Equipos[Grupo],MATCH(BD17,T_Equipos[NombreEquipo],0)))</f>
        <v>4</v>
      </c>
      <c r="DE17" s="16"/>
      <c r="DF17" s="16">
        <f t="shared" ca="1" si="52"/>
        <v>4</v>
      </c>
      <c r="DG17" s="16">
        <f ca="1">IF(DB17="-","-",COUNTIFS(DF$6:DF$53,"&lt;"&amp;DF17,$BC$6:$BC$53,INDEX(T_Equipos[Grupo],MATCH(BD17,T_Equipos[NombreEquipo],0))))</f>
        <v>3</v>
      </c>
      <c r="DH17" s="16">
        <f ca="1">DA17+COUNTIFS(DB$6:DB$53,DB17,DG$6:DG$53,"&lt;"&amp;DG17,$BC$6:$BC$53,INDEX(T_Equipos[Grupo],MATCH(BD17,T_Equipos[NombreEquipo],0)))</f>
        <v>4</v>
      </c>
      <c r="DI17" s="16"/>
      <c r="DJ17" s="16">
        <f t="shared" ca="1" si="38"/>
        <v>1</v>
      </c>
      <c r="DK17" s="16">
        <f t="shared" ca="1" si="39"/>
        <v>0</v>
      </c>
      <c r="DL17" s="16">
        <f t="shared" ca="1" si="40"/>
        <v>1</v>
      </c>
      <c r="DM17" s="16" t="str">
        <f t="shared" ca="1" si="46"/>
        <v>1.1</v>
      </c>
      <c r="DN17" s="16" cm="1">
        <f t="array" aca="1" ref="DN17" ca="1">OFFSET(Horarios!$P$3,DJ17-1,0,DL17,1)</f>
        <v>1</v>
      </c>
      <c r="DO17" s="16"/>
      <c r="DP17" s="16" t="s">
        <v>669</v>
      </c>
      <c r="DQ17" s="16" t="str">
        <f t="shared" ca="1" si="47"/>
        <v>Escocia</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0</v>
      </c>
      <c r="BF18" s="16">
        <f t="shared" ca="1" si="41"/>
        <v>0</v>
      </c>
      <c r="BG18" s="16">
        <f t="shared" ca="1" si="17"/>
        <v>0</v>
      </c>
      <c r="BH18" s="16">
        <f t="shared" ca="1" si="18"/>
        <v>0</v>
      </c>
      <c r="BI18" s="16">
        <f t="shared" ca="1" si="19"/>
        <v>0</v>
      </c>
      <c r="BJ18" s="16">
        <f t="shared" ca="1" si="20"/>
        <v>0</v>
      </c>
      <c r="BK18" s="16">
        <f t="shared" ca="1" si="21"/>
        <v>0</v>
      </c>
      <c r="BL18" s="16">
        <f t="shared" ca="1" si="42"/>
        <v>0</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0</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(4)</v>
      </c>
      <c r="BU18" s="16">
        <f t="shared" ca="1" si="24"/>
        <v>0</v>
      </c>
      <c r="BV18" s="16">
        <f t="shared" ca="1" si="25"/>
        <v>0</v>
      </c>
      <c r="BW18" s="16">
        <f t="shared" ca="1" si="26"/>
        <v>0</v>
      </c>
      <c r="BX18" s="16">
        <f t="shared" ca="1" si="48"/>
        <v>0</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(4)</v>
      </c>
      <c r="CA18" s="16">
        <f t="shared" ca="1" si="27"/>
        <v>0</v>
      </c>
      <c r="CB18" s="16">
        <f t="shared" ca="1" si="28"/>
        <v>0</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(4)</v>
      </c>
      <c r="CF18" s="16">
        <f t="shared" ca="1" si="29"/>
        <v>0</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(4)</v>
      </c>
      <c r="CI18" s="16">
        <f t="shared" ca="1" si="30"/>
        <v>0</v>
      </c>
      <c r="CJ18" s="16">
        <f t="shared" ca="1" si="31"/>
        <v>0</v>
      </c>
      <c r="CK18" s="16">
        <f t="shared" ca="1" si="32"/>
        <v>0</v>
      </c>
      <c r="CL18" s="16">
        <f t="shared" ca="1" si="50"/>
        <v>0</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(4)</v>
      </c>
      <c r="CO18" s="16">
        <f t="shared" ca="1" si="33"/>
        <v>0</v>
      </c>
      <c r="CP18" s="16">
        <f t="shared" ca="1" si="34"/>
        <v>0</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(4)</v>
      </c>
      <c r="CT18" s="16">
        <f t="shared" ca="1" si="35"/>
        <v>0</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(4)</v>
      </c>
      <c r="CW18" s="16">
        <f t="shared" ca="1" si="36"/>
        <v>0</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(4)</v>
      </c>
      <c r="CZ18" s="16">
        <f t="shared" ca="1" si="37"/>
        <v>0</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P.1 (4)</v>
      </c>
      <c r="DC18" s="16">
        <f ca="1">IF(DB18="-","-",COUNTIFS(T_Equipos[Rank],"&lt;"&amp;INDEX(T_Equipos[Rank],MATCH(BD18,T_Equipos[NombreEquipo],0)),$BC$6:$BC$53,INDEX(T_Equipos[Grupo],MATCH(BD18,T_Equipos[NombreEquipo],0)))+1)</f>
        <v>1</v>
      </c>
      <c r="DD18" s="16">
        <f ca="1">DA18+COUNTIFS($DB$6:$DB$53,DB18,$DC$6:DC$53,"&lt;"&amp;DC18,$BC$6:$BC$53,INDEX(T_Equipos[Grupo],MATCH(BD18,T_Equipos[NombreEquipo],0)))</f>
        <v>1</v>
      </c>
      <c r="DE18" s="16"/>
      <c r="DF18" s="16">
        <f t="shared" ca="1" si="52"/>
        <v>1</v>
      </c>
      <c r="DG18" s="16">
        <f ca="1">IF(DB18="-","-",COUNTIFS(DF$6:DF$53,"&lt;"&amp;DF18,$BC$6:$BC$53,INDEX(T_Equipos[Grupo],MATCH(BD18,T_Equipos[NombreEquipo],0))))</f>
        <v>0</v>
      </c>
      <c r="DH18" s="16">
        <f ca="1">DA18+COUNTIFS(DB$6:DB$53,DB18,DG$6:DG$53,"&lt;"&amp;DG18,$BC$6:$BC$53,INDEX(T_Equipos[Grupo],MATCH(BD18,T_Equipos[NombreEquipo],0)))</f>
        <v>1</v>
      </c>
      <c r="DI18" s="16"/>
      <c r="DJ18" s="16">
        <f t="shared" ca="1" si="38"/>
        <v>1</v>
      </c>
      <c r="DK18" s="16">
        <f t="shared" ca="1" si="39"/>
        <v>0</v>
      </c>
      <c r="DL18" s="16">
        <f t="shared" ca="1" si="40"/>
        <v>1</v>
      </c>
      <c r="DM18" s="16" t="str">
        <f t="shared" ca="1" si="46"/>
        <v>1.1</v>
      </c>
      <c r="DN18" s="16" cm="1">
        <f t="array" aca="1" ref="DN18" ca="1">OFFSET(Horarios!$P$3,DJ18-1,0,DL18,1)</f>
        <v>1</v>
      </c>
      <c r="DO18" s="16"/>
      <c r="DP18" s="16" t="s">
        <v>670</v>
      </c>
      <c r="DQ18" s="16" t="str">
        <f t="shared" ca="1" si="47"/>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0</v>
      </c>
      <c r="BG19" s="16">
        <f t="shared" ca="1" si="17"/>
        <v>0</v>
      </c>
      <c r="BH19" s="16">
        <f t="shared" ca="1" si="18"/>
        <v>0</v>
      </c>
      <c r="BI19" s="16">
        <f t="shared" ca="1" si="19"/>
        <v>0</v>
      </c>
      <c r="BJ19" s="16">
        <f t="shared" ca="1" si="20"/>
        <v>0</v>
      </c>
      <c r="BK19" s="16">
        <f t="shared" ca="1" si="21"/>
        <v>0</v>
      </c>
      <c r="BL19" s="16">
        <f t="shared" ca="1" si="42"/>
        <v>0</v>
      </c>
      <c r="BM19" s="16" t="str">
        <f t="shared" ca="1" si="22"/>
        <v>2D</v>
      </c>
      <c r="BN19" s="16" t="str">
        <f t="shared" ca="1" si="23"/>
        <v>2D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P.1 (4)</v>
      </c>
      <c r="BU19" s="16">
        <f t="shared" ca="1" si="24"/>
        <v>0</v>
      </c>
      <c r="BV19" s="16">
        <f t="shared" ca="1" si="25"/>
        <v>0</v>
      </c>
      <c r="BW19" s="16">
        <f t="shared" ca="1" si="26"/>
        <v>0</v>
      </c>
      <c r="BX19" s="16">
        <f t="shared" ca="1" si="48"/>
        <v>0</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P.1 (4)</v>
      </c>
      <c r="CA19" s="16">
        <f t="shared" ca="1" si="27"/>
        <v>0</v>
      </c>
      <c r="CB19" s="16">
        <f t="shared" ca="1" si="28"/>
        <v>0</v>
      </c>
      <c r="CC19" s="16">
        <f t="shared" ca="1" si="49"/>
        <v>0</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P.1 (4)</v>
      </c>
      <c r="CF19" s="16">
        <f t="shared" ca="1" si="29"/>
        <v>0</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P.1 (4)</v>
      </c>
      <c r="CI19" s="16">
        <f t="shared" ca="1" si="30"/>
        <v>0</v>
      </c>
      <c r="CJ19" s="16">
        <f t="shared" ca="1" si="31"/>
        <v>0</v>
      </c>
      <c r="CK19" s="16">
        <f t="shared" ca="1" si="32"/>
        <v>0</v>
      </c>
      <c r="CL19" s="16">
        <f t="shared" ca="1" si="50"/>
        <v>0</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P.1 (4)</v>
      </c>
      <c r="CO19" s="16">
        <f t="shared" ca="1" si="33"/>
        <v>0</v>
      </c>
      <c r="CP19" s="16">
        <f t="shared" ca="1" si="34"/>
        <v>0</v>
      </c>
      <c r="CQ19" s="16">
        <f t="shared" ca="1" si="51"/>
        <v>0</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P.1 (4)</v>
      </c>
      <c r="CT19" s="16">
        <f t="shared" ca="1" si="35"/>
        <v>0</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P.1 (4)</v>
      </c>
      <c r="CW19" s="16">
        <f t="shared" ca="1" si="36"/>
        <v>0</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P.1 (4)</v>
      </c>
      <c r="CZ19" s="16">
        <f t="shared" ca="1" si="37"/>
        <v>0</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P.1 (4)</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2</v>
      </c>
      <c r="DE19" s="16"/>
      <c r="DF19" s="16">
        <f t="shared" ca="1" si="52"/>
        <v>2</v>
      </c>
      <c r="DG19" s="16">
        <f ca="1">IF(DB19="-","-",COUNTIFS(DF$6:DF$53,"&lt;"&amp;DF19,$BC$6:$BC$53,INDEX(T_Equipos[Grupo],MATCH(BD19,T_Equipos[NombreEquipo],0))))</f>
        <v>1</v>
      </c>
      <c r="DH19" s="16">
        <f ca="1">DA19+COUNTIFS(DB$6:DB$53,DB19,DG$6:DG$53,"&lt;"&amp;DG19,$BC$6:$BC$53,INDEX(T_Equipos[Grupo],MATCH(BD19,T_Equipos[NombreEquipo],0)))</f>
        <v>2</v>
      </c>
      <c r="DI19" s="16"/>
      <c r="DJ19" s="16">
        <f t="shared" ca="1" si="38"/>
        <v>1</v>
      </c>
      <c r="DK19" s="16">
        <f t="shared" ca="1" si="39"/>
        <v>0</v>
      </c>
      <c r="DL19" s="16">
        <f t="shared" ca="1" si="40"/>
        <v>1</v>
      </c>
      <c r="DM19" s="16" t="str">
        <f t="shared" ca="1" si="46"/>
        <v>1.1</v>
      </c>
      <c r="DN19" s="16" cm="1">
        <f t="array" aca="1" ref="DN19" ca="1">OFFSET(Horarios!$P$3,DJ19-1,0,DL19,1)</f>
        <v>1</v>
      </c>
      <c r="DO19" s="16"/>
      <c r="DP19" s="16" t="s">
        <v>671</v>
      </c>
      <c r="DQ19" s="16" t="str">
        <f t="shared" ca="1" si="47"/>
        <v>Paraguay</v>
      </c>
    </row>
    <row r="20" spans="1:121" ht="16" customHeight="1" thickBot="1" x14ac:dyDescent="0.25">
      <c r="A20" s="16" t="s">
        <v>32</v>
      </c>
      <c r="B20" s="16" t="s">
        <v>2</v>
      </c>
      <c r="C20" s="16">
        <f>COUNTIF(Equipos!$C$2:$C$49,WORLDCUP!B20)</f>
        <v>4</v>
      </c>
      <c r="D20" s="16" t="str">
        <f t="shared" ref="D20:D25" si="71">IF(OR(AC20="",AD20=""),"Pendiente",IF(AC20&gt;AD20,"Local",IF(AC20&lt;AD20,"Visitante","Empate")))</f>
        <v>Pendiente</v>
      </c>
      <c r="E20" s="16" t="str">
        <f t="shared" ref="E20:E25" si="72">IF(D20="Pendiente","-",INDEX($BT$6:$BT$53,MATCH($AA20,$BD$6:$BD$53,0)))</f>
        <v>-</v>
      </c>
      <c r="F20" s="16" t="str">
        <f t="shared" ref="F20:F25" si="73">IF(D20="Pendiente","-",INDEX($BT$6:$BT$53,MATCH($AF20,$BD$6:$BD$53,0)))</f>
        <v>-</v>
      </c>
      <c r="G20" s="16"/>
      <c r="H20" s="16" t="str">
        <f t="shared" ref="H20:H25" si="74">IF(D20="Pendiente","-",INDEX($BZ$6:$BZ$53,MATCH($AA20,$BD$6:$BD$53,0)))</f>
        <v>-</v>
      </c>
      <c r="I20" s="16" t="str">
        <f t="shared" ref="I20:I25" si="75">IF(D20="Pendiente","-",INDEX($BZ$6:$BZ$53,MATCH($AF20,$BD$6:$BD$53,0)))</f>
        <v>-</v>
      </c>
      <c r="J20" s="16"/>
      <c r="K20" s="16" t="str">
        <f t="shared" ref="K20:K25" si="76">IF(D20="Pendiente","-",INDEX($CE$6:$CE$53,MATCH($AA20,$BD$6:$BD$53,0)))</f>
        <v>-</v>
      </c>
      <c r="L20" s="16" t="str">
        <f t="shared" ref="L20:L25" si="77">IF(D20="Pendiente","-",INDEX($CE$6:$CE$53,MATCH($AF20,$BD$6:$BD$53,0)))</f>
        <v>-</v>
      </c>
      <c r="M20" s="16"/>
      <c r="N20" s="16" t="str">
        <f t="shared" ref="N20:N25" si="78">IF(D20="Pendiente","-",INDEX($CH$6:$CH$53,MATCH($AA20,$BD$6:$BD$53,0)))</f>
        <v>-</v>
      </c>
      <c r="O20" s="16" t="str">
        <f t="shared" ref="O20:O25" si="79">IF(D20="Pendiente","-",INDEX($CH$6:$CH$53,MATCH($AF20,$BD$6:$BD$53,0)))</f>
        <v>-</v>
      </c>
      <c r="P20" s="16"/>
      <c r="Q20" s="16" t="str">
        <f t="shared" ref="Q20:Q25" si="80">IF(D20="Pendiente","-",INDEX($CN$6:$CN$53,MATCH($AA20,$BD$6:$BD$53,0)))</f>
        <v>-</v>
      </c>
      <c r="R20" s="16" t="str">
        <f t="shared" ref="R20:R25" si="81">IF(D20="Pendiente","-",INDEX($CN$6:$CN$53,MATCH($AF20,$BD$6:$BD$53,0)))</f>
        <v>-</v>
      </c>
      <c r="S20" s="16"/>
      <c r="T20" s="16" t="str">
        <f t="shared" ref="T20:T25" si="82">IF(D20="Pendiente","-",INDEX($CS$6:$CS$53,MATCH($AA20,$BD$6:$BD$53,0)))</f>
        <v>-</v>
      </c>
      <c r="U20" s="16" t="str">
        <f t="shared" ref="U20:U25" si="83">IF(D20="Pendiente","-",INDEX($CS$6:$CS$53,MATCH($AF20,$BD$6:$BD$53,0)))</f>
        <v>-</v>
      </c>
      <c r="V20" s="17"/>
      <c r="W20" s="679" t="s">
        <v>2</v>
      </c>
      <c r="X20" s="24">
        <f ca="1">Horarios!C20</f>
        <v>46187</v>
      </c>
      <c r="Y20" s="25">
        <f ca="1">Horarios!C20</f>
        <v>46187</v>
      </c>
      <c r="Z20" s="26" t="str">
        <f>$Z$4</f>
        <v>J1</v>
      </c>
      <c r="AA20" s="27" t="str">
        <f ca="1">A21</f>
        <v>Brasil</v>
      </c>
      <c r="AB20" s="49" t="str" cm="1">
        <f t="array" aca="1" ref="AB20" ca="1">Ver_flag_local</f>
        <v>🇧🇷</v>
      </c>
      <c r="AC20" s="50"/>
      <c r="AD20" s="51"/>
      <c r="AE20" s="595" t="str" cm="1">
        <f t="array" aca="1" ref="AE20" ca="1">Ver_flag_visit</f>
        <v>🇲🇦</v>
      </c>
      <c r="AF20" s="32" t="str">
        <f ca="1">A22</f>
        <v>Marruecos</v>
      </c>
      <c r="AG20" s="323">
        <f t="shared" ref="AG20:AG25" si="84">IF(NOT(OR(ISBLANK(AC20),ISBLANK(AD20))),1,0)</f>
        <v>0</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0</v>
      </c>
      <c r="BG20" s="16">
        <f t="shared" ca="1" si="17"/>
        <v>0</v>
      </c>
      <c r="BH20" s="16">
        <f t="shared" ca="1" si="18"/>
        <v>0</v>
      </c>
      <c r="BI20" s="16">
        <f t="shared" ca="1" si="19"/>
        <v>0</v>
      </c>
      <c r="BJ20" s="16">
        <f t="shared" ca="1" si="20"/>
        <v>0</v>
      </c>
      <c r="BK20" s="16">
        <f t="shared" ca="1" si="21"/>
        <v>0</v>
      </c>
      <c r="BL20" s="16">
        <f t="shared" ca="1" si="42"/>
        <v>0</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1</v>
      </c>
      <c r="BT20" s="16" t="str">
        <f ca="1">IF(COUNTIFS($BS$6:$BS$53,BS20,$BC$6:$BC$53,INDEX(T_Equipos[Grupo],MATCH(BD20,T_Equipos[NombreEquipo],0)))=1,"-","P."&amp;BS20&amp;" ("&amp;COUNTIFS($BS$6:$BS$53,BS20,$BC$6:$BC$53,INDEX(T_Equipos[Grupo],MATCH(BD20,T_Equipos[NombreEquipo],0)))&amp;")")</f>
        <v>P.1 (4)</v>
      </c>
      <c r="BU20" s="16">
        <f t="shared" ca="1" si="24"/>
        <v>0</v>
      </c>
      <c r="BV20" s="16">
        <f t="shared" ca="1" si="25"/>
        <v>0</v>
      </c>
      <c r="BW20" s="16">
        <f t="shared" ca="1" si="26"/>
        <v>0</v>
      </c>
      <c r="BX20" s="16">
        <f t="shared" ca="1" si="48"/>
        <v>0</v>
      </c>
      <c r="BY20" s="16">
        <f ca="1">BS20+COUNTIFS($BT$6:$BT$53,BT20,$BX$6:BX$53,"&gt;"&amp;BX20,$BC$6:$BC$53,INDEX(T_Equipos[Grupo],MATCH(BD20,T_Equipos[NombreEquipo],0)))</f>
        <v>1</v>
      </c>
      <c r="BZ20" s="16" t="str">
        <f ca="1">IF(COUNTIFS($BY$6:$BY$53,BY20,$BC$6:$BC$53,INDEX(T_Equipos[Grupo],MATCH(BD20,T_Equipos[NombreEquipo],0)))=1,"-","P."&amp;BY20&amp;" ("&amp;COUNTIFS($BY$6:$BY$53,BY20,$BC$6:$BC$53,INDEX(T_Equipos[Grupo],MATCH(BD20,T_Equipos[NombreEquipo],0)))&amp;")")</f>
        <v>P.1 (4)</v>
      </c>
      <c r="CA20" s="16">
        <f t="shared" ca="1" si="27"/>
        <v>0</v>
      </c>
      <c r="CB20" s="16">
        <f t="shared" ca="1" si="28"/>
        <v>0</v>
      </c>
      <c r="CC20" s="16">
        <f t="shared" ca="1" si="49"/>
        <v>0</v>
      </c>
      <c r="CD20" s="16">
        <f ca="1">BY20+COUNTIFS($BZ$6:$BZ$53,BZ20,$CC$6:CC$53,"&gt;"&amp;CC20,$BC$6:$BC$53,INDEX(T_Equipos[Grupo],MATCH(BD20,T_Equipos[NombreEquipo],0)))</f>
        <v>1</v>
      </c>
      <c r="CE20" s="16" t="str">
        <f ca="1">IF(COUNTIFS($CD$6:$CD$53,CD20,$BC$6:$BC$53,INDEX(T_Equipos[Grupo],MATCH(BD20,T_Equipos[NombreEquipo],0)))=1,"-","P."&amp;CD20&amp;" ("&amp;COUNTIFS($CD$6:$CD$53,CD20,$BC$6:$BC$53,INDEX(T_Equipos[Grupo],MATCH(BD20,T_Equipos[NombreEquipo],0)))&amp;")")</f>
        <v>P.1 (4)</v>
      </c>
      <c r="CF20" s="16">
        <f t="shared" ca="1" si="29"/>
        <v>0</v>
      </c>
      <c r="CG20" s="16">
        <f ca="1">CD20+COUNTIFS($CE$6:$CE$53,CE20,$CF$6:CF$53,"&gt;"&amp;CF20,$BC$6:$BC$53,INDEX(T_Equipos[Grupo],MATCH(BD20,T_Equipos[NombreEquipo],0)))</f>
        <v>1</v>
      </c>
      <c r="CH20" s="16" t="str">
        <f ca="1">IF(COUNTIFS($CG$6:$CG$53,CG20,$BC$6:$BC$53,INDEX(T_Equipos[Grupo],MATCH(BD20,T_Equipos[NombreEquipo],0)))=1,"-","P."&amp;CG20&amp;" ("&amp;COUNTIFS($CG$6:$CG$53,CG20,$BC$6:$BC$53,INDEX(T_Equipos[Grupo],MATCH(BD20,T_Equipos[NombreEquipo],0)))&amp;")")</f>
        <v>P.1 (4)</v>
      </c>
      <c r="CI20" s="16">
        <f t="shared" ca="1" si="30"/>
        <v>0</v>
      </c>
      <c r="CJ20" s="16">
        <f t="shared" ca="1" si="31"/>
        <v>0</v>
      </c>
      <c r="CK20" s="16">
        <f t="shared" ca="1" si="32"/>
        <v>0</v>
      </c>
      <c r="CL20" s="16">
        <f t="shared" ca="1" si="50"/>
        <v>0</v>
      </c>
      <c r="CM20" s="16">
        <f ca="1">CG20+COUNTIFS($CH$6:$CH$53,CH20,$CL$6:CL$53,"&gt;"&amp;CL20,$BC$6:$BC$53,INDEX(T_Equipos[Grupo],MATCH(BD20,T_Equipos[NombreEquipo],0)))</f>
        <v>1</v>
      </c>
      <c r="CN20" s="16" t="str">
        <f ca="1">IF(COUNTIFS($CM$6:$CM$53,CM20,$BC$6:$BC$53,INDEX(T_Equipos[Grupo],MATCH(BD20,T_Equipos[NombreEquipo],0)))=1,"-","P."&amp;CM20&amp;" ("&amp;COUNTIFS($CM$6:$CM$53,CM20,$BC$6:$BC$53,INDEX(T_Equipos[Grupo],MATCH(BD20,T_Equipos[NombreEquipo],0)))&amp;")")</f>
        <v>P.1 (4)</v>
      </c>
      <c r="CO20" s="16">
        <f t="shared" ca="1" si="33"/>
        <v>0</v>
      </c>
      <c r="CP20" s="16">
        <f t="shared" ca="1" si="34"/>
        <v>0</v>
      </c>
      <c r="CQ20" s="16">
        <f t="shared" ca="1" si="51"/>
        <v>0</v>
      </c>
      <c r="CR20" s="16">
        <f ca="1">CM20+COUNTIFS($CN$6:$CN$53,CN20,$CQ$6:CQ$53,"&gt;"&amp;CQ20,$BC$6:$BC$53,INDEX(T_Equipos[Grupo],MATCH(BD20,T_Equipos[NombreEquipo],0)))</f>
        <v>1</v>
      </c>
      <c r="CS20" s="16" t="str">
        <f ca="1">IF(COUNTIFS($CR$6:$CR$53,CR20,$BC$6:$BC$53,INDEX(T_Equipos[Grupo],MATCH(BD20,T_Equipos[NombreEquipo],0)))=1,"-","P."&amp;CR20&amp;" ("&amp;COUNTIFS($CR$6:$CR$53,CR20,$BC$6:$BC$53,INDEX(T_Equipos[Grupo],MATCH(BD20,T_Equipos[NombreEquipo],0)))&amp;")")</f>
        <v>P.1 (4)</v>
      </c>
      <c r="CT20" s="16">
        <f t="shared" ca="1" si="35"/>
        <v>0</v>
      </c>
      <c r="CU20" s="16">
        <f ca="1">CR20+COUNTIFS($CS$6:$CS$53,CS20,$CT$6:CT$53,"&gt;"&amp;CT20,$BC$6:$BC$53,INDEX(T_Equipos[Grupo],MATCH(BD20,T_Equipos[NombreEquipo],0)))</f>
        <v>1</v>
      </c>
      <c r="CV20" s="16" t="str">
        <f ca="1">IF(COUNTIFS($CU$6:$CU$53,CU20,$BC$6:$BC$53,INDEX(T_Equipos[Grupo],MATCH(BD20,T_Equipos[NombreEquipo],0)))=1,"-","P."&amp;CU20&amp;" ("&amp;COUNTIFS($CU$6:$CU$53,CU20,$BC$6:$BC$53,INDEX(T_Equipos[Grupo],MATCH(BD20,T_Equipos[NombreEquipo],0)))&amp;")")</f>
        <v>P.1 (4)</v>
      </c>
      <c r="CW20" s="16">
        <f t="shared" ca="1" si="36"/>
        <v>0</v>
      </c>
      <c r="CX20" s="16">
        <f ca="1">CU20+COUNTIFS($CV$6:$CV$53,CV20,$CW$6:CW$53,"&gt;"&amp;CW20,$BC$6:$BC$53,INDEX(T_Equipos[Grupo],MATCH(BD20,T_Equipos[NombreEquipo],0)))</f>
        <v>1</v>
      </c>
      <c r="CY20" s="16" t="str">
        <f ca="1">IF(COUNTIFS($CX$6:$CX$53,CX20,$BC$6:$BC$53,INDEX(T_Equipos[Grupo],MATCH(BD20,T_Equipos[NombreEquipo],0)))=1,"-","P."&amp;CX20&amp;" ("&amp;COUNTIFS($CX$6:$CX$53,CX20,$BC$6:$BC$53,INDEX(T_Equipos[Grupo],MATCH(BD20,T_Equipos[NombreEquipo],0)))&amp;")")</f>
        <v>P.1 (4)</v>
      </c>
      <c r="CZ20" s="16">
        <f t="shared" ca="1" si="37"/>
        <v>0</v>
      </c>
      <c r="DA20" s="16">
        <f ca="1">CX20+COUNTIFS($CY$6:$CY$53,CY20,$CZ$6:CZ$53,"&gt;"&amp;CZ20,$BC$6:$BC$53,INDEX(T_Equipos[Grupo],MATCH(BD20,T_Equipos[NombreEquipo],0)))</f>
        <v>1</v>
      </c>
      <c r="DB20" s="16" t="str">
        <f ca="1">IF(COUNTIFS($DA$6:$DA$53,DA20,$BC$6:$BC$53,INDEX(T_Equipos[Grupo],MATCH(BD20,T_Equipos[NombreEquipo],0)))=1,"-","P."&amp;DA20&amp;" ("&amp;COUNTIFS($DA$6:$DA$53,DA20,$BC$6:$BC$53,INDEX(T_Equipos[Grupo],MATCH(BD20,T_Equipos[NombreEquipo],0)))&amp;")")</f>
        <v>P.1 (4)</v>
      </c>
      <c r="DC20" s="16">
        <f ca="1">IF(DB20="-","-",COUNTIFS(T_Equipos[Rank],"&lt;"&amp;INDEX(T_Equipos[Rank],MATCH(BD20,T_Equipos[NombreEquipo],0)),$BC$6:$BC$53,INDEX(T_Equipos[Grupo],MATCH(BD20,T_Equipos[NombreEquipo],0)))+1)</f>
        <v>3</v>
      </c>
      <c r="DD20" s="16">
        <f ca="1">DA20+COUNTIFS($DB$6:$DB$53,DB20,$DC$6:DC$53,"&lt;"&amp;DC20,$BC$6:$BC$53,INDEX(T_Equipos[Grupo],MATCH(BD20,T_Equipos[NombreEquipo],0)))</f>
        <v>3</v>
      </c>
      <c r="DE20" s="16"/>
      <c r="DF20" s="16">
        <f t="shared" ca="1" si="52"/>
        <v>3</v>
      </c>
      <c r="DG20" s="16">
        <f ca="1">IF(DB20="-","-",COUNTIFS(DF$6:DF$53,"&lt;"&amp;DF20,$BC$6:$BC$53,INDEX(T_Equipos[Grupo],MATCH(BD20,T_Equipos[NombreEquipo],0))))</f>
        <v>2</v>
      </c>
      <c r="DH20" s="16">
        <f ca="1">DA20+COUNTIFS(DB$6:DB$53,DB20,DG$6:DG$53,"&lt;"&amp;DG20,$BC$6:$BC$53,INDEX(T_Equipos[Grupo],MATCH(BD20,T_Equipos[NombreEquipo],0)))</f>
        <v>3</v>
      </c>
      <c r="DI20" s="16"/>
      <c r="DJ20" s="16">
        <f t="shared" ca="1" si="38"/>
        <v>1</v>
      </c>
      <c r="DK20" s="16">
        <f t="shared" ca="1" si="39"/>
        <v>0</v>
      </c>
      <c r="DL20" s="16">
        <f t="shared" ca="1" si="40"/>
        <v>1</v>
      </c>
      <c r="DM20" s="16" t="str">
        <f t="shared" ca="1" si="46"/>
        <v>1.1</v>
      </c>
      <c r="DN20" s="16" cm="1">
        <f t="array" aca="1" ref="DN20" ca="1">OFFSET(Horarios!$P$3,DJ20-1,0,DL20,1)</f>
        <v>1</v>
      </c>
      <c r="DO20" s="16"/>
      <c r="DP20" s="16" t="s">
        <v>93</v>
      </c>
      <c r="DQ20" s="16" t="str">
        <f t="shared" ca="1" si="47"/>
        <v>Australia</v>
      </c>
    </row>
    <row r="21" spans="1:121" ht="16" customHeight="1" x14ac:dyDescent="0.2">
      <c r="A21" s="16" t="str">
        <f ca="1">+Equipos!B10</f>
        <v>Brasil</v>
      </c>
      <c r="B21" s="16"/>
      <c r="C21" s="16"/>
      <c r="D21" s="16" t="str">
        <f t="shared" si="71"/>
        <v>Pendiente</v>
      </c>
      <c r="E21" s="16" t="str">
        <f t="shared" si="72"/>
        <v>-</v>
      </c>
      <c r="F21" s="16" t="str">
        <f t="shared" si="73"/>
        <v>-</v>
      </c>
      <c r="G21" s="16"/>
      <c r="H21" s="16" t="str">
        <f t="shared" si="74"/>
        <v>-</v>
      </c>
      <c r="I21" s="16" t="str">
        <f t="shared" si="75"/>
        <v>-</v>
      </c>
      <c r="J21" s="16"/>
      <c r="K21" s="16" t="str">
        <f t="shared" si="76"/>
        <v>-</v>
      </c>
      <c r="L21" s="16" t="str">
        <f t="shared" si="77"/>
        <v>-</v>
      </c>
      <c r="M21" s="16"/>
      <c r="N21" s="16" t="str">
        <f t="shared" si="78"/>
        <v>-</v>
      </c>
      <c r="O21" s="16" t="str">
        <f t="shared" si="79"/>
        <v>-</v>
      </c>
      <c r="P21" s="16"/>
      <c r="Q21" s="16" t="str">
        <f t="shared" si="80"/>
        <v>-</v>
      </c>
      <c r="R21" s="16" t="str">
        <f t="shared" si="81"/>
        <v>-</v>
      </c>
      <c r="S21" s="16"/>
      <c r="T21" s="16" t="str">
        <f t="shared" si="82"/>
        <v>-</v>
      </c>
      <c r="U21" s="16" t="str">
        <f t="shared" si="83"/>
        <v>-</v>
      </c>
      <c r="V21" s="17"/>
      <c r="W21" s="679"/>
      <c r="X21" s="24">
        <f ca="1">Horarios!C21</f>
        <v>46187.125</v>
      </c>
      <c r="Y21" s="25">
        <f ca="1">Horarios!C21</f>
        <v>46187.125</v>
      </c>
      <c r="Z21" s="26" t="str">
        <f>$Z$4</f>
        <v>J1</v>
      </c>
      <c r="AA21" s="27" t="str">
        <f ca="1">A23</f>
        <v>Haití</v>
      </c>
      <c r="AB21" s="49" t="str" cm="1">
        <f t="array" aca="1" ref="AB21" ca="1">Ver_flag_local</f>
        <v>🇭🇹</v>
      </c>
      <c r="AC21" s="50"/>
      <c r="AD21" s="51"/>
      <c r="AE21" s="595" t="str" cm="1">
        <f t="array" aca="1" ref="AE21" ca="1">Ver_flag_visit</f>
        <v>🏴󠁧󠁢󠁳󠁣󠁴󠁿</v>
      </c>
      <c r="AF21" s="32" t="str">
        <f ca="1">A24</f>
        <v>Escocia</v>
      </c>
      <c r="AG21" s="323">
        <f t="shared" si="84"/>
        <v>0</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0</v>
      </c>
      <c r="BF21" s="16">
        <f t="shared" ca="1" si="41"/>
        <v>0</v>
      </c>
      <c r="BG21" s="16">
        <f t="shared" ca="1" si="17"/>
        <v>0</v>
      </c>
      <c r="BH21" s="16">
        <f t="shared" ca="1" si="18"/>
        <v>0</v>
      </c>
      <c r="BI21" s="16">
        <f t="shared" ca="1" si="19"/>
        <v>0</v>
      </c>
      <c r="BJ21" s="16">
        <f t="shared" ca="1" si="20"/>
        <v>0</v>
      </c>
      <c r="BK21" s="16">
        <f t="shared" ca="1" si="21"/>
        <v>0</v>
      </c>
      <c r="BL21" s="16">
        <f t="shared" ca="1" si="42"/>
        <v>0</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0</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(4)</v>
      </c>
      <c r="BU21" s="16">
        <f t="shared" ca="1" si="24"/>
        <v>0</v>
      </c>
      <c r="BV21" s="16">
        <f t="shared" ca="1" si="25"/>
        <v>0</v>
      </c>
      <c r="BW21" s="16">
        <f t="shared" ca="1" si="26"/>
        <v>0</v>
      </c>
      <c r="BX21" s="16">
        <f t="shared" ca="1" si="48"/>
        <v>0</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(4)</v>
      </c>
      <c r="CA21" s="16">
        <f t="shared" ca="1" si="27"/>
        <v>0</v>
      </c>
      <c r="CB21" s="16">
        <f t="shared" ca="1" si="28"/>
        <v>0</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(4)</v>
      </c>
      <c r="CF21" s="16">
        <f t="shared" ca="1" si="29"/>
        <v>0</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(4)</v>
      </c>
      <c r="CI21" s="16">
        <f t="shared" ca="1" si="30"/>
        <v>0</v>
      </c>
      <c r="CJ21" s="16">
        <f t="shared" ca="1" si="31"/>
        <v>0</v>
      </c>
      <c r="CK21" s="16">
        <f t="shared" ca="1" si="32"/>
        <v>0</v>
      </c>
      <c r="CL21" s="16">
        <f t="shared" ca="1" si="50"/>
        <v>0</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(4)</v>
      </c>
      <c r="CO21" s="16">
        <f t="shared" ca="1" si="33"/>
        <v>0</v>
      </c>
      <c r="CP21" s="16">
        <f t="shared" ca="1" si="34"/>
        <v>0</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(4)</v>
      </c>
      <c r="CT21" s="16">
        <f t="shared" ca="1" si="35"/>
        <v>0</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(4)</v>
      </c>
      <c r="CW21" s="16">
        <f t="shared" ca="1" si="36"/>
        <v>0</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(4)</v>
      </c>
      <c r="CZ21" s="16">
        <f t="shared" ca="1" si="37"/>
        <v>0</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P.1 (4)</v>
      </c>
      <c r="DC21" s="16">
        <f ca="1">IF(DB21="-","-",COUNTIFS(T_Equipos[Rank],"&lt;"&amp;INDEX(T_Equipos[Rank],MATCH(BD21,T_Equipos[NombreEquipo],0)),$BC$6:$BC$53,INDEX(T_Equipos[Grupo],MATCH(BD21,T_Equipos[NombreEquipo],0)))+1)</f>
        <v>4</v>
      </c>
      <c r="DD21" s="16">
        <f ca="1">DA21+COUNTIFS($DB$6:$DB$53,DB21,$DC$6:DC$53,"&lt;"&amp;DC21,$BC$6:$BC$53,INDEX(T_Equipos[Grupo],MATCH(BD21,T_Equipos[NombreEquipo],0)))</f>
        <v>4</v>
      </c>
      <c r="DE21" s="16"/>
      <c r="DF21" s="16">
        <f t="shared" ca="1" si="52"/>
        <v>4</v>
      </c>
      <c r="DG21" s="16">
        <f ca="1">IF(DB21="-","-",COUNTIFS(DF$6:DF$53,"&lt;"&amp;DF21,$BC$6:$BC$53,INDEX(T_Equipos[Grupo],MATCH(BD21,T_Equipos[NombreEquipo],0))))</f>
        <v>3</v>
      </c>
      <c r="DH21" s="16">
        <f ca="1">DA21+COUNTIFS(DB$6:DB$53,DB21,DG$6:DG$53,"&lt;"&amp;DG21,$BC$6:$BC$53,INDEX(T_Equipos[Grupo],MATCH(BD21,T_Equipos[NombreEquipo],0)))</f>
        <v>4</v>
      </c>
      <c r="DI21" s="16"/>
      <c r="DJ21" s="16">
        <f t="shared" ca="1" si="38"/>
        <v>1</v>
      </c>
      <c r="DK21" s="16">
        <f t="shared" ca="1" si="39"/>
        <v>0</v>
      </c>
      <c r="DL21" s="16">
        <f t="shared" ca="1" si="40"/>
        <v>1</v>
      </c>
      <c r="DM21" s="16" t="str">
        <f t="shared" ca="1" si="46"/>
        <v>1.1</v>
      </c>
      <c r="DN21" s="16" cm="1">
        <f t="array" aca="1" ref="DN21" ca="1">OFFSET(Horarios!$P$3,DJ21-1,0,DL21,1)</f>
        <v>1</v>
      </c>
      <c r="DO21" s="16"/>
      <c r="DP21" s="16" t="s">
        <v>672</v>
      </c>
      <c r="DQ21" s="16" t="str">
        <f t="shared" ca="1" si="47"/>
        <v>Turquía</v>
      </c>
    </row>
    <row r="22" spans="1:121" ht="16" customHeight="1" x14ac:dyDescent="0.2">
      <c r="A22" s="16" t="str">
        <f ca="1">+Equipos!B11</f>
        <v>Marruecos</v>
      </c>
      <c r="B22" s="16"/>
      <c r="C22" s="16"/>
      <c r="D22" s="16" t="str">
        <f t="shared" si="71"/>
        <v>Pendiente</v>
      </c>
      <c r="E22" s="16" t="str">
        <f t="shared" si="72"/>
        <v>-</v>
      </c>
      <c r="F22" s="16" t="str">
        <f t="shared" si="73"/>
        <v>-</v>
      </c>
      <c r="G22" s="16"/>
      <c r="H22" s="16" t="str">
        <f t="shared" si="74"/>
        <v>-</v>
      </c>
      <c r="I22" s="16" t="str">
        <f t="shared" si="75"/>
        <v>-</v>
      </c>
      <c r="J22" s="16"/>
      <c r="K22" s="16" t="str">
        <f t="shared" si="76"/>
        <v>-</v>
      </c>
      <c r="L22" s="16" t="str">
        <f t="shared" si="77"/>
        <v>-</v>
      </c>
      <c r="M22" s="16"/>
      <c r="N22" s="16" t="str">
        <f t="shared" si="78"/>
        <v>-</v>
      </c>
      <c r="O22" s="16" t="str">
        <f t="shared" si="79"/>
        <v>-</v>
      </c>
      <c r="P22" s="16"/>
      <c r="Q22" s="16" t="str">
        <f t="shared" si="80"/>
        <v>-</v>
      </c>
      <c r="R22" s="16" t="str">
        <f t="shared" si="81"/>
        <v>-</v>
      </c>
      <c r="S22" s="16"/>
      <c r="T22" s="16" t="str">
        <f t="shared" si="82"/>
        <v>-</v>
      </c>
      <c r="U22" s="16" t="str">
        <f t="shared" si="83"/>
        <v>-</v>
      </c>
      <c r="V22" s="17"/>
      <c r="W22" s="679"/>
      <c r="X22" s="24">
        <f ca="1">Horarios!C22</f>
        <v>46193</v>
      </c>
      <c r="Y22" s="25">
        <f ca="1">Horarios!C22</f>
        <v>46193</v>
      </c>
      <c r="Z22" s="26" t="str">
        <f>$Z$6</f>
        <v>J2</v>
      </c>
      <c r="AA22" s="27" t="str">
        <f ca="1">A24</f>
        <v>Escocia</v>
      </c>
      <c r="AB22" s="49" t="str" cm="1">
        <f t="array" aca="1" ref="AB22" ca="1">Ver_flag_local</f>
        <v>🏴󠁧󠁢󠁳󠁣󠁴󠁿</v>
      </c>
      <c r="AC22" s="50"/>
      <c r="AD22" s="51"/>
      <c r="AE22" s="595" t="str" cm="1">
        <f t="array" aca="1" ref="AE22" ca="1">Ver_flag_visit</f>
        <v>🇲🇦</v>
      </c>
      <c r="AF22" s="32" t="str">
        <f ca="1">A22</f>
        <v>Marruecos</v>
      </c>
      <c r="AG22" s="323">
        <f t="shared" si="84"/>
        <v>0</v>
      </c>
      <c r="AH22" s="195">
        <v>30</v>
      </c>
      <c r="AI22" s="181" t="str">
        <f>AJ22&amp;$B$20</f>
        <v>1C</v>
      </c>
      <c r="AJ22" s="40">
        <v>1</v>
      </c>
      <c r="AK22" s="601" t="str" cm="1">
        <f t="array" aca="1" ref="AK22" ca="1">Ver_flag_visit</f>
        <v>🇧🇷</v>
      </c>
      <c r="AL22" s="34" t="str">
        <f ca="1">IFERROR(INDEX($BD$6:$BD$53,MATCH(AI22,$BN$6:$BN$53,0)),"")</f>
        <v>Brasil</v>
      </c>
      <c r="AM22" s="35">
        <f t="shared" ref="AM22:AT25" ca="1" si="87">INDEX($BE$6:$BN$53,MATCH($AL22,$BD$6:$BD$53,0),MATCH(AM$5,$BE$5:$BN$5,0))</f>
        <v>0</v>
      </c>
      <c r="AN22" s="36">
        <f t="shared" ca="1" si="87"/>
        <v>0</v>
      </c>
      <c r="AO22" s="36">
        <f t="shared" ca="1" si="87"/>
        <v>0</v>
      </c>
      <c r="AP22" s="36">
        <f t="shared" ca="1" si="87"/>
        <v>0</v>
      </c>
      <c r="AQ22" s="36">
        <f t="shared" ca="1" si="87"/>
        <v>0</v>
      </c>
      <c r="AR22" s="36">
        <f t="shared" ca="1" si="87"/>
        <v>0</v>
      </c>
      <c r="AS22" s="36">
        <f t="shared" ca="1" si="87"/>
        <v>0</v>
      </c>
      <c r="AT22" s="41">
        <f t="shared" ca="1" si="87"/>
        <v>0</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0</v>
      </c>
      <c r="BF22" s="16">
        <f t="shared" ca="1" si="41"/>
        <v>0</v>
      </c>
      <c r="BG22" s="16">
        <f t="shared" ca="1" si="17"/>
        <v>0</v>
      </c>
      <c r="BH22" s="16">
        <f t="shared" ca="1" si="18"/>
        <v>0</v>
      </c>
      <c r="BI22" s="16">
        <f t="shared" ca="1" si="19"/>
        <v>0</v>
      </c>
      <c r="BJ22" s="16">
        <f t="shared" ca="1" si="20"/>
        <v>0</v>
      </c>
      <c r="BK22" s="16">
        <f t="shared" ca="1" si="21"/>
        <v>0</v>
      </c>
      <c r="BL22" s="16">
        <f t="shared" ca="1" si="42"/>
        <v>0</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0</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(4)</v>
      </c>
      <c r="BU22" s="16">
        <f t="shared" ca="1" si="24"/>
        <v>0</v>
      </c>
      <c r="BV22" s="16">
        <f t="shared" ca="1" si="25"/>
        <v>0</v>
      </c>
      <c r="BW22" s="16">
        <f t="shared" ca="1" si="26"/>
        <v>0</v>
      </c>
      <c r="BX22" s="16">
        <f t="shared" ca="1" si="48"/>
        <v>0</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(4)</v>
      </c>
      <c r="CA22" s="16">
        <f t="shared" ca="1" si="27"/>
        <v>0</v>
      </c>
      <c r="CB22" s="16">
        <f t="shared" ca="1" si="28"/>
        <v>0</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(4)</v>
      </c>
      <c r="CF22" s="16">
        <f t="shared" ca="1" si="29"/>
        <v>0</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(4)</v>
      </c>
      <c r="CI22" s="16">
        <f t="shared" ca="1" si="30"/>
        <v>0</v>
      </c>
      <c r="CJ22" s="16">
        <f t="shared" ca="1" si="31"/>
        <v>0</v>
      </c>
      <c r="CK22" s="16">
        <f t="shared" ca="1" si="32"/>
        <v>0</v>
      </c>
      <c r="CL22" s="16">
        <f t="shared" ca="1" si="50"/>
        <v>0</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(4)</v>
      </c>
      <c r="CO22" s="16">
        <f t="shared" ca="1" si="33"/>
        <v>0</v>
      </c>
      <c r="CP22" s="16">
        <f t="shared" ca="1" si="34"/>
        <v>0</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(4)</v>
      </c>
      <c r="CT22" s="16">
        <f t="shared" ca="1" si="35"/>
        <v>0</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(4)</v>
      </c>
      <c r="CW22" s="16">
        <f t="shared" ca="1" si="36"/>
        <v>0</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P.1 (4)</v>
      </c>
      <c r="CZ22" s="16">
        <f t="shared" ca="1" si="37"/>
        <v>0</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P.1 (4)</v>
      </c>
      <c r="DC22" s="16">
        <f ca="1">IF(DB22="-","-",COUNTIFS(T_Equipos[Rank],"&lt;"&amp;INDEX(T_Equipos[Rank],MATCH(BD22,T_Equipos[NombreEquipo],0)),$BC$6:$BC$53,INDEX(T_Equipos[Grupo],MATCH(BD22,T_Equipos[NombreEquipo],0)))+1)</f>
        <v>1</v>
      </c>
      <c r="DD22" s="16">
        <f ca="1">DA22+COUNTIFS($DB$6:$DB$53,DB22,$DC$6:DC$53,"&lt;"&amp;DC22,$BC$6:$BC$53,INDEX(T_Equipos[Grupo],MATCH(BD22,T_Equipos[NombreEquipo],0)))</f>
        <v>1</v>
      </c>
      <c r="DE22" s="16"/>
      <c r="DF22" s="16">
        <f t="shared" ca="1" si="52"/>
        <v>1</v>
      </c>
      <c r="DG22" s="16">
        <f ca="1">IF(DB22="-","-",COUNTIFS(DF$6:DF$53,"&lt;"&amp;DF22,$BC$6:$BC$53,INDEX(T_Equipos[Grupo],MATCH(BD22,T_Equipos[NombreEquipo],0))))</f>
        <v>0</v>
      </c>
      <c r="DH22" s="16">
        <f ca="1">DA22+COUNTIFS(DB$6:DB$53,DB22,DG$6:DG$53,"&lt;"&amp;DG22,$BC$6:$BC$53,INDEX(T_Equipos[Grupo],MATCH(BD22,T_Equipos[NombreEquipo],0)))</f>
        <v>1</v>
      </c>
      <c r="DI22" s="16"/>
      <c r="DJ22" s="16">
        <f t="shared" ca="1" si="38"/>
        <v>1</v>
      </c>
      <c r="DK22" s="16">
        <f t="shared" ca="1" si="39"/>
        <v>0</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x14ac:dyDescent="0.2">
      <c r="A23" s="16" t="str">
        <f ca="1">+Equipos!B12</f>
        <v>Haití</v>
      </c>
      <c r="B23" s="16"/>
      <c r="C23" s="16"/>
      <c r="D23" s="16" t="str">
        <f t="shared" si="71"/>
        <v>Pendiente</v>
      </c>
      <c r="E23" s="16" t="str">
        <f t="shared" si="72"/>
        <v>-</v>
      </c>
      <c r="F23" s="16" t="str">
        <f t="shared" si="73"/>
        <v>-</v>
      </c>
      <c r="G23" s="16"/>
      <c r="H23" s="16" t="str">
        <f t="shared" si="74"/>
        <v>-</v>
      </c>
      <c r="I23" s="16" t="str">
        <f t="shared" si="75"/>
        <v>-</v>
      </c>
      <c r="J23" s="16"/>
      <c r="K23" s="16" t="str">
        <f t="shared" si="76"/>
        <v>-</v>
      </c>
      <c r="L23" s="16" t="str">
        <f t="shared" si="77"/>
        <v>-</v>
      </c>
      <c r="M23" s="16"/>
      <c r="N23" s="16" t="str">
        <f t="shared" si="78"/>
        <v>-</v>
      </c>
      <c r="O23" s="16" t="str">
        <f t="shared" si="79"/>
        <v>-</v>
      </c>
      <c r="P23" s="16"/>
      <c r="Q23" s="16" t="str">
        <f t="shared" si="80"/>
        <v>-</v>
      </c>
      <c r="R23" s="16" t="str">
        <f t="shared" si="81"/>
        <v>-</v>
      </c>
      <c r="S23" s="16"/>
      <c r="T23" s="16" t="str">
        <f t="shared" si="82"/>
        <v>-</v>
      </c>
      <c r="U23" s="16" t="str">
        <f t="shared" si="83"/>
        <v>-</v>
      </c>
      <c r="V23" s="17"/>
      <c r="W23" s="679"/>
      <c r="X23" s="24">
        <f ca="1">Horarios!C23</f>
        <v>46193.104166666664</v>
      </c>
      <c r="Y23" s="25">
        <f ca="1">Horarios!C23</f>
        <v>46193.104166666664</v>
      </c>
      <c r="Z23" s="26" t="str">
        <f>$Z$6</f>
        <v>J2</v>
      </c>
      <c r="AA23" s="27" t="str">
        <f ca="1">A21</f>
        <v>Brasil</v>
      </c>
      <c r="AB23" s="49" t="str" cm="1">
        <f t="array" aca="1" ref="AB23" ca="1">Ver_flag_local</f>
        <v>🇧🇷</v>
      </c>
      <c r="AC23" s="50"/>
      <c r="AD23" s="51"/>
      <c r="AE23" s="595" t="str" cm="1">
        <f t="array" aca="1" ref="AE23" ca="1">Ver_flag_visit</f>
        <v>🇭🇹</v>
      </c>
      <c r="AF23" s="32" t="str">
        <f ca="1">A23</f>
        <v>Haití</v>
      </c>
      <c r="AG23" s="323">
        <f t="shared" si="84"/>
        <v>0</v>
      </c>
      <c r="AH23" s="195">
        <v>29</v>
      </c>
      <c r="AI23" s="181" t="str">
        <f t="shared" ref="AI23:AI25" si="88">AJ23&amp;$B$20</f>
        <v>2C</v>
      </c>
      <c r="AJ23" s="42">
        <v>2</v>
      </c>
      <c r="AK23" s="602" t="str" cm="1">
        <f t="array" aca="1" ref="AK23" ca="1">Ver_flag_visit</f>
        <v>🇲🇦</v>
      </c>
      <c r="AL23" s="37" t="str">
        <f ca="1">IFERROR(INDEX($BD$6:$BD$53,MATCH(AI23,$BN$6:$BN$53,0)),"")</f>
        <v>Marruecos</v>
      </c>
      <c r="AM23" s="38">
        <f t="shared" ca="1" si="87"/>
        <v>0</v>
      </c>
      <c r="AN23" s="39">
        <f t="shared" ca="1" si="87"/>
        <v>0</v>
      </c>
      <c r="AO23" s="39">
        <f t="shared" ca="1" si="87"/>
        <v>0</v>
      </c>
      <c r="AP23" s="39">
        <f t="shared" ca="1" si="87"/>
        <v>0</v>
      </c>
      <c r="AQ23" s="39">
        <f t="shared" ca="1" si="87"/>
        <v>0</v>
      </c>
      <c r="AR23" s="39">
        <f t="shared" ca="1" si="87"/>
        <v>0</v>
      </c>
      <c r="AS23" s="39">
        <f t="shared" ca="1" si="87"/>
        <v>0</v>
      </c>
      <c r="AT23" s="43">
        <f t="shared" ca="1" si="87"/>
        <v>0</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0</v>
      </c>
      <c r="BG23" s="16">
        <f t="shared" ca="1" si="17"/>
        <v>0</v>
      </c>
      <c r="BH23" s="16">
        <f t="shared" ca="1" si="18"/>
        <v>0</v>
      </c>
      <c r="BI23" s="16">
        <f t="shared" ca="1" si="19"/>
        <v>0</v>
      </c>
      <c r="BJ23" s="16">
        <f t="shared" ca="1" si="20"/>
        <v>0</v>
      </c>
      <c r="BK23" s="16">
        <f t="shared" ca="1" si="21"/>
        <v>0</v>
      </c>
      <c r="BL23" s="16">
        <f t="shared" ca="1" si="42"/>
        <v>0</v>
      </c>
      <c r="BM23" s="16" t="str">
        <f t="shared" ca="1" si="22"/>
        <v>2E</v>
      </c>
      <c r="BN23" s="16" t="str">
        <f t="shared" ca="1" si="23"/>
        <v>2E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1</v>
      </c>
      <c r="BT23" s="16" t="str">
        <f ca="1">IF(COUNTIFS($BS$6:$BS$53,BS23,$BC$6:$BC$53,INDEX(T_Equipos[Grupo],MATCH(BD23,T_Equipos[NombreEquipo],0)))=1,"-","P."&amp;BS23&amp;" ("&amp;COUNTIFS($BS$6:$BS$53,BS23,$BC$6:$BC$53,INDEX(T_Equipos[Grupo],MATCH(BD23,T_Equipos[NombreEquipo],0)))&amp;")")</f>
        <v>P.1 (4)</v>
      </c>
      <c r="BU23" s="16">
        <f t="shared" ca="1" si="24"/>
        <v>0</v>
      </c>
      <c r="BV23" s="16">
        <f t="shared" ca="1" si="25"/>
        <v>0</v>
      </c>
      <c r="BW23" s="16">
        <f t="shared" ca="1" si="26"/>
        <v>0</v>
      </c>
      <c r="BX23" s="16">
        <f t="shared" ca="1" si="48"/>
        <v>0</v>
      </c>
      <c r="BY23" s="16">
        <f ca="1">BS23+COUNTIFS($BT$6:$BT$53,BT23,$BX$6:BX$53,"&gt;"&amp;BX23,$BC$6:$BC$53,INDEX(T_Equipos[Grupo],MATCH(BD23,T_Equipos[NombreEquipo],0)))</f>
        <v>1</v>
      </c>
      <c r="BZ23" s="16" t="str">
        <f ca="1">IF(COUNTIFS($BY$6:$BY$53,BY23,$BC$6:$BC$53,INDEX(T_Equipos[Grupo],MATCH(BD23,T_Equipos[NombreEquipo],0)))=1,"-","P."&amp;BY23&amp;" ("&amp;COUNTIFS($BY$6:$BY$53,BY23,$BC$6:$BC$53,INDEX(T_Equipos[Grupo],MATCH(BD23,T_Equipos[NombreEquipo],0)))&amp;")")</f>
        <v>P.1 (4)</v>
      </c>
      <c r="CA23" s="16">
        <f t="shared" ca="1" si="27"/>
        <v>0</v>
      </c>
      <c r="CB23" s="16">
        <f t="shared" ca="1" si="28"/>
        <v>0</v>
      </c>
      <c r="CC23" s="16">
        <f t="shared" ca="1" si="49"/>
        <v>0</v>
      </c>
      <c r="CD23" s="16">
        <f ca="1">BY23+COUNTIFS($BZ$6:$BZ$53,BZ23,$CC$6:CC$53,"&gt;"&amp;CC23,$BC$6:$BC$53,INDEX(T_Equipos[Grupo],MATCH(BD23,T_Equipos[NombreEquipo],0)))</f>
        <v>1</v>
      </c>
      <c r="CE23" s="16" t="str">
        <f ca="1">IF(COUNTIFS($CD$6:$CD$53,CD23,$BC$6:$BC$53,INDEX(T_Equipos[Grupo],MATCH(BD23,T_Equipos[NombreEquipo],0)))=1,"-","P."&amp;CD23&amp;" ("&amp;COUNTIFS($CD$6:$CD$53,CD23,$BC$6:$BC$53,INDEX(T_Equipos[Grupo],MATCH(BD23,T_Equipos[NombreEquipo],0)))&amp;")")</f>
        <v>P.1 (4)</v>
      </c>
      <c r="CF23" s="16">
        <f t="shared" ca="1" si="29"/>
        <v>0</v>
      </c>
      <c r="CG23" s="16">
        <f ca="1">CD23+COUNTIFS($CE$6:$CE$53,CE23,$CF$6:CF$53,"&gt;"&amp;CF23,$BC$6:$BC$53,INDEX(T_Equipos[Grupo],MATCH(BD23,T_Equipos[NombreEquipo],0)))</f>
        <v>1</v>
      </c>
      <c r="CH23" s="16" t="str">
        <f ca="1">IF(COUNTIFS($CG$6:$CG$53,CG23,$BC$6:$BC$53,INDEX(T_Equipos[Grupo],MATCH(BD23,T_Equipos[NombreEquipo],0)))=1,"-","P."&amp;CG23&amp;" ("&amp;COUNTIFS($CG$6:$CG$53,CG23,$BC$6:$BC$53,INDEX(T_Equipos[Grupo],MATCH(BD23,T_Equipos[NombreEquipo],0)))&amp;")")</f>
        <v>P.1 (4)</v>
      </c>
      <c r="CI23" s="16">
        <f t="shared" ca="1" si="30"/>
        <v>0</v>
      </c>
      <c r="CJ23" s="16">
        <f t="shared" ca="1" si="31"/>
        <v>0</v>
      </c>
      <c r="CK23" s="16">
        <f t="shared" ca="1" si="32"/>
        <v>0</v>
      </c>
      <c r="CL23" s="16">
        <f t="shared" ca="1" si="50"/>
        <v>0</v>
      </c>
      <c r="CM23" s="16">
        <f ca="1">CG23+COUNTIFS($CH$6:$CH$53,CH23,$CL$6:CL$53,"&gt;"&amp;CL23,$BC$6:$BC$53,INDEX(T_Equipos[Grupo],MATCH(BD23,T_Equipos[NombreEquipo],0)))</f>
        <v>1</v>
      </c>
      <c r="CN23" s="16" t="str">
        <f ca="1">IF(COUNTIFS($CM$6:$CM$53,CM23,$BC$6:$BC$53,INDEX(T_Equipos[Grupo],MATCH(BD23,T_Equipos[NombreEquipo],0)))=1,"-","P."&amp;CM23&amp;" ("&amp;COUNTIFS($CM$6:$CM$53,CM23,$BC$6:$BC$53,INDEX(T_Equipos[Grupo],MATCH(BD23,T_Equipos[NombreEquipo],0)))&amp;")")</f>
        <v>P.1 (4)</v>
      </c>
      <c r="CO23" s="16">
        <f t="shared" ca="1" si="33"/>
        <v>0</v>
      </c>
      <c r="CP23" s="16">
        <f t="shared" ca="1" si="34"/>
        <v>0</v>
      </c>
      <c r="CQ23" s="16">
        <f t="shared" ca="1" si="51"/>
        <v>0</v>
      </c>
      <c r="CR23" s="16">
        <f ca="1">CM23+COUNTIFS($CN$6:$CN$53,CN23,$CQ$6:CQ$53,"&gt;"&amp;CQ23,$BC$6:$BC$53,INDEX(T_Equipos[Grupo],MATCH(BD23,T_Equipos[NombreEquipo],0)))</f>
        <v>1</v>
      </c>
      <c r="CS23" s="16" t="str">
        <f ca="1">IF(COUNTIFS($CR$6:$CR$53,CR23,$BC$6:$BC$53,INDEX(T_Equipos[Grupo],MATCH(BD23,T_Equipos[NombreEquipo],0)))=1,"-","P."&amp;CR23&amp;" ("&amp;COUNTIFS($CR$6:$CR$53,CR23,$BC$6:$BC$53,INDEX(T_Equipos[Grupo],MATCH(BD23,T_Equipos[NombreEquipo],0)))&amp;")")</f>
        <v>P.1 (4)</v>
      </c>
      <c r="CT23" s="16">
        <f t="shared" ca="1" si="35"/>
        <v>0</v>
      </c>
      <c r="CU23" s="16">
        <f ca="1">CR23+COUNTIFS($CS$6:$CS$53,CS23,$CT$6:CT$53,"&gt;"&amp;CT23,$BC$6:$BC$53,INDEX(T_Equipos[Grupo],MATCH(BD23,T_Equipos[NombreEquipo],0)))</f>
        <v>1</v>
      </c>
      <c r="CV23" s="16" t="str">
        <f ca="1">IF(COUNTIFS($CU$6:$CU$53,CU23,$BC$6:$BC$53,INDEX(T_Equipos[Grupo],MATCH(BD23,T_Equipos[NombreEquipo],0)))=1,"-","P."&amp;CU23&amp;" ("&amp;COUNTIFS($CU$6:$CU$53,CU23,$BC$6:$BC$53,INDEX(T_Equipos[Grupo],MATCH(BD23,T_Equipos[NombreEquipo],0)))&amp;")")</f>
        <v>P.1 (4)</v>
      </c>
      <c r="CW23" s="16">
        <f t="shared" ca="1" si="36"/>
        <v>0</v>
      </c>
      <c r="CX23" s="16">
        <f ca="1">CU23+COUNTIFS($CV$6:$CV$53,CV23,$CW$6:CW$53,"&gt;"&amp;CW23,$BC$6:$BC$53,INDEX(T_Equipos[Grupo],MATCH(BD23,T_Equipos[NombreEquipo],0)))</f>
        <v>1</v>
      </c>
      <c r="CY23" s="16" t="str">
        <f ca="1">IF(COUNTIFS($CX$6:$CX$53,CX23,$BC$6:$BC$53,INDEX(T_Equipos[Grupo],MATCH(BD23,T_Equipos[NombreEquipo],0)))=1,"-","P."&amp;CX23&amp;" ("&amp;COUNTIFS($CX$6:$CX$53,CX23,$BC$6:$BC$53,INDEX(T_Equipos[Grupo],MATCH(BD23,T_Equipos[NombreEquipo],0)))&amp;")")</f>
        <v>P.1 (4)</v>
      </c>
      <c r="CZ23" s="16">
        <f t="shared" ca="1" si="37"/>
        <v>0</v>
      </c>
      <c r="DA23" s="16">
        <f ca="1">CX23+COUNTIFS($CY$6:$CY$53,CY23,$CZ$6:CZ$53,"&gt;"&amp;CZ23,$BC$6:$BC$53,INDEX(T_Equipos[Grupo],MATCH(BD23,T_Equipos[NombreEquipo],0)))</f>
        <v>1</v>
      </c>
      <c r="DB23" s="16" t="str">
        <f ca="1">IF(COUNTIFS($DA$6:$DA$53,DA23,$BC$6:$BC$53,INDEX(T_Equipos[Grupo],MATCH(BD23,T_Equipos[NombreEquipo],0)))=1,"-","P."&amp;DA23&amp;" ("&amp;COUNTIFS($DA$6:$DA$53,DA23,$BC$6:$BC$53,INDEX(T_Equipos[Grupo],MATCH(BD23,T_Equipos[NombreEquipo],0)))&amp;")")</f>
        <v>P.1 (4)</v>
      </c>
      <c r="DC23" s="16">
        <f ca="1">IF(DB23="-","-",COUNTIFS(T_Equipos[Rank],"&lt;"&amp;INDEX(T_Equipos[Rank],MATCH(BD23,T_Equipos[NombreEquipo],0)),$BC$6:$BC$53,INDEX(T_Equipos[Grupo],MATCH(BD23,T_Equipos[NombreEquipo],0)))+1)</f>
        <v>2</v>
      </c>
      <c r="DD23" s="16">
        <f ca="1">DA23+COUNTIFS($DB$6:$DB$53,DB23,$DC$6:DC$53,"&lt;"&amp;DC23,$BC$6:$BC$53,INDEX(T_Equipos[Grupo],MATCH(BD23,T_Equipos[NombreEquipo],0)))</f>
        <v>2</v>
      </c>
      <c r="DE23" s="16"/>
      <c r="DF23" s="16">
        <f t="shared" ca="1" si="52"/>
        <v>2</v>
      </c>
      <c r="DG23" s="16">
        <f ca="1">IF(DB23="-","-",COUNTIFS(DF$6:DF$53,"&lt;"&amp;DF23,$BC$6:$BC$53,INDEX(T_Equipos[Grupo],MATCH(BD23,T_Equipos[NombreEquipo],0))))</f>
        <v>1</v>
      </c>
      <c r="DH23" s="16">
        <f ca="1">DA23+COUNTIFS(DB$6:DB$53,DB23,DG$6:DG$53,"&lt;"&amp;DG23,$BC$6:$BC$53,INDEX(T_Equipos[Grupo],MATCH(BD23,T_Equipos[NombreEquipo],0)))</f>
        <v>2</v>
      </c>
      <c r="DI23" s="16"/>
      <c r="DJ23" s="16">
        <f t="shared" ca="1" si="38"/>
        <v>1</v>
      </c>
      <c r="DK23" s="16">
        <f t="shared" ca="1" si="39"/>
        <v>0</v>
      </c>
      <c r="DL23" s="16">
        <f t="shared" ca="1" si="40"/>
        <v>1</v>
      </c>
      <c r="DM23" s="16" t="str">
        <f t="shared" ca="1" si="46"/>
        <v>1.1</v>
      </c>
      <c r="DN23" s="16" cm="1">
        <f t="array" aca="1" ref="DN23" ca="1">OFFSET(Horarios!$P$3,DJ23-1,0,DL23,1)</f>
        <v>1</v>
      </c>
      <c r="DO23" s="16"/>
      <c r="DP23" s="16" t="s">
        <v>674</v>
      </c>
      <c r="DQ23" s="16" t="str">
        <f t="shared" ca="1" si="47"/>
        <v>Curazao</v>
      </c>
    </row>
    <row r="24" spans="1:121" ht="16" customHeight="1" x14ac:dyDescent="0.2">
      <c r="A24" s="16" t="str">
        <f ca="1">+Equipos!B13</f>
        <v>Escocia</v>
      </c>
      <c r="B24" s="16"/>
      <c r="C24" s="16"/>
      <c r="D24" s="16" t="str">
        <f t="shared" si="71"/>
        <v>Pendiente</v>
      </c>
      <c r="E24" s="16" t="str">
        <f t="shared" si="72"/>
        <v>-</v>
      </c>
      <c r="F24" s="16" t="str">
        <f t="shared" si="73"/>
        <v>-</v>
      </c>
      <c r="G24" s="16"/>
      <c r="H24" s="16" t="str">
        <f t="shared" si="74"/>
        <v>-</v>
      </c>
      <c r="I24" s="16" t="str">
        <f t="shared" si="75"/>
        <v>-</v>
      </c>
      <c r="J24" s="16"/>
      <c r="K24" s="16" t="str">
        <f t="shared" si="76"/>
        <v>-</v>
      </c>
      <c r="L24" s="16" t="str">
        <f t="shared" si="77"/>
        <v>-</v>
      </c>
      <c r="M24" s="16"/>
      <c r="N24" s="16" t="str">
        <f t="shared" si="78"/>
        <v>-</v>
      </c>
      <c r="O24" s="16" t="str">
        <f t="shared" si="79"/>
        <v>-</v>
      </c>
      <c r="P24" s="16"/>
      <c r="Q24" s="16" t="str">
        <f t="shared" si="80"/>
        <v>-</v>
      </c>
      <c r="R24" s="16" t="str">
        <f t="shared" si="81"/>
        <v>-</v>
      </c>
      <c r="S24" s="16"/>
      <c r="T24" s="16" t="str">
        <f t="shared" si="82"/>
        <v>-</v>
      </c>
      <c r="U24" s="16" t="str">
        <f t="shared" si="83"/>
        <v>-</v>
      </c>
      <c r="V24" s="17"/>
      <c r="W24" s="679"/>
      <c r="X24" s="24">
        <f ca="1">Horarios!C24</f>
        <v>46198</v>
      </c>
      <c r="Y24" s="25">
        <f ca="1">Horarios!C24</f>
        <v>46198</v>
      </c>
      <c r="Z24" s="26" t="str">
        <f>$Z$8</f>
        <v>J3</v>
      </c>
      <c r="AA24" s="27" t="str">
        <f ca="1">A24</f>
        <v>Escocia</v>
      </c>
      <c r="AB24" s="49" t="str" cm="1">
        <f t="array" aca="1" ref="AB24" ca="1">Ver_flag_local</f>
        <v>🏴󠁧󠁢󠁳󠁣󠁴󠁿</v>
      </c>
      <c r="AC24" s="50"/>
      <c r="AD24" s="51"/>
      <c r="AE24" s="595" t="str" cm="1">
        <f t="array" aca="1" ref="AE24" ca="1">Ver_flag_visit</f>
        <v>🇧🇷</v>
      </c>
      <c r="AF24" s="32" t="str">
        <f ca="1">A21</f>
        <v>Brasil</v>
      </c>
      <c r="AG24" s="323">
        <f t="shared" si="84"/>
        <v>0</v>
      </c>
      <c r="AH24" s="195">
        <v>49</v>
      </c>
      <c r="AI24" s="181" t="str">
        <f t="shared" si="88"/>
        <v>3C</v>
      </c>
      <c r="AJ24" s="42">
        <v>3</v>
      </c>
      <c r="AK24" s="602" t="str" cm="1">
        <f t="array" aca="1" ref="AK24" ca="1">Ver_flag_visit</f>
        <v>🇭🇹</v>
      </c>
      <c r="AL24" s="37" t="str">
        <f ca="1">IFERROR(INDEX($BD$6:$BD$53,MATCH(AI24,$BN$6:$BN$53,0)),"")</f>
        <v>Haití</v>
      </c>
      <c r="AM24" s="38">
        <f t="shared" ca="1" si="87"/>
        <v>0</v>
      </c>
      <c r="AN24" s="39">
        <f t="shared" ca="1" si="87"/>
        <v>0</v>
      </c>
      <c r="AO24" s="39">
        <f t="shared" ca="1" si="87"/>
        <v>0</v>
      </c>
      <c r="AP24" s="39">
        <f t="shared" ca="1" si="87"/>
        <v>0</v>
      </c>
      <c r="AQ24" s="39">
        <f t="shared" ca="1" si="87"/>
        <v>0</v>
      </c>
      <c r="AR24" s="39">
        <f t="shared" ca="1" si="87"/>
        <v>0</v>
      </c>
      <c r="AS24" s="39">
        <f t="shared" ca="1" si="87"/>
        <v>0</v>
      </c>
      <c r="AT24" s="43">
        <f t="shared" ca="1" si="87"/>
        <v>0</v>
      </c>
      <c r="AU24" s="330">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0</v>
      </c>
      <c r="BF24" s="16">
        <f t="shared" ca="1" si="41"/>
        <v>0</v>
      </c>
      <c r="BG24" s="16">
        <f t="shared" ca="1" si="17"/>
        <v>0</v>
      </c>
      <c r="BH24" s="16">
        <f t="shared" ca="1" si="18"/>
        <v>0</v>
      </c>
      <c r="BI24" s="16">
        <f t="shared" ca="1" si="19"/>
        <v>0</v>
      </c>
      <c r="BJ24" s="16">
        <f t="shared" ca="1" si="20"/>
        <v>0</v>
      </c>
      <c r="BK24" s="16">
        <f t="shared" ca="1" si="21"/>
        <v>0</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0</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(4)</v>
      </c>
      <c r="BU24" s="16">
        <f t="shared" ca="1" si="24"/>
        <v>0</v>
      </c>
      <c r="BV24" s="16">
        <f t="shared" ca="1" si="25"/>
        <v>0</v>
      </c>
      <c r="BW24" s="16">
        <f t="shared" ca="1" si="26"/>
        <v>0</v>
      </c>
      <c r="BX24" s="16">
        <f t="shared" ca="1" si="48"/>
        <v>0</v>
      </c>
      <c r="BY24" s="16">
        <f ca="1">BS24+COUNTIFS($BT$6:$BT$53,BT24,$BX$6:BX$53,"&gt;"&amp;BX24,$BC$6:$BC$53,INDEX(T_Equipos[Grupo],MATCH(BD24,T_Equipos[NombreEquipo],0)))</f>
        <v>1</v>
      </c>
      <c r="BZ24" s="16" t="str">
        <f ca="1">IF(COUNTIFS($BY$6:$BY$53,BY24,$BC$6:$BC$53,INDEX(T_Equipos[Grupo],MATCH(BD24,T_Equipos[NombreEquipo],0)))=1,"-","P."&amp;BY24&amp;" ("&amp;COUNTIFS($BY$6:$BY$53,BY24,$BC$6:$BC$53,INDEX(T_Equipos[Grupo],MATCH(BD24,T_Equipos[NombreEquipo],0)))&amp;")")</f>
        <v>P.1 (4)</v>
      </c>
      <c r="CA24" s="16">
        <f t="shared" ca="1" si="27"/>
        <v>0</v>
      </c>
      <c r="CB24" s="16">
        <f t="shared" ca="1" si="28"/>
        <v>0</v>
      </c>
      <c r="CC24" s="16">
        <f t="shared" ca="1" si="49"/>
        <v>0</v>
      </c>
      <c r="CD24" s="16">
        <f ca="1">BY24+COUNTIFS($BZ$6:$BZ$53,BZ24,$CC$6:CC$53,"&gt;"&amp;CC24,$BC$6:$BC$53,INDEX(T_Equipos[Grupo],MATCH(BD24,T_Equipos[NombreEquipo],0)))</f>
        <v>1</v>
      </c>
      <c r="CE24" s="16" t="str">
        <f ca="1">IF(COUNTIFS($CD$6:$CD$53,CD24,$BC$6:$BC$53,INDEX(T_Equipos[Grupo],MATCH(BD24,T_Equipos[NombreEquipo],0)))=1,"-","P."&amp;CD24&amp;" ("&amp;COUNTIFS($CD$6:$CD$53,CD24,$BC$6:$BC$53,INDEX(T_Equipos[Grupo],MATCH(BD24,T_Equipos[NombreEquipo],0)))&amp;")")</f>
        <v>P.1 (4)</v>
      </c>
      <c r="CF24" s="16">
        <f t="shared" ca="1" si="29"/>
        <v>0</v>
      </c>
      <c r="CG24" s="16">
        <f ca="1">CD24+COUNTIFS($CE$6:$CE$53,CE24,$CF$6:CF$53,"&gt;"&amp;CF24,$BC$6:$BC$53,INDEX(T_Equipos[Grupo],MATCH(BD24,T_Equipos[NombreEquipo],0)))</f>
        <v>1</v>
      </c>
      <c r="CH24" s="16" t="str">
        <f ca="1">IF(COUNTIFS($CG$6:$CG$53,CG24,$BC$6:$BC$53,INDEX(T_Equipos[Grupo],MATCH(BD24,T_Equipos[NombreEquipo],0)))=1,"-","P."&amp;CG24&amp;" ("&amp;COUNTIFS($CG$6:$CG$53,CG24,$BC$6:$BC$53,INDEX(T_Equipos[Grupo],MATCH(BD24,T_Equipos[NombreEquipo],0)))&amp;")")</f>
        <v>P.1 (4)</v>
      </c>
      <c r="CI24" s="16">
        <f t="shared" ca="1" si="30"/>
        <v>0</v>
      </c>
      <c r="CJ24" s="16">
        <f t="shared" ca="1" si="31"/>
        <v>0</v>
      </c>
      <c r="CK24" s="16">
        <f t="shared" ca="1" si="32"/>
        <v>0</v>
      </c>
      <c r="CL24" s="16">
        <f t="shared" ca="1" si="50"/>
        <v>0</v>
      </c>
      <c r="CM24" s="16">
        <f ca="1">CG24+COUNTIFS($CH$6:$CH$53,CH24,$CL$6:CL$53,"&gt;"&amp;CL24,$BC$6:$BC$53,INDEX(T_Equipos[Grupo],MATCH(BD24,T_Equipos[NombreEquipo],0)))</f>
        <v>1</v>
      </c>
      <c r="CN24" s="16" t="str">
        <f ca="1">IF(COUNTIFS($CM$6:$CM$53,CM24,$BC$6:$BC$53,INDEX(T_Equipos[Grupo],MATCH(BD24,T_Equipos[NombreEquipo],0)))=1,"-","P."&amp;CM24&amp;" ("&amp;COUNTIFS($CM$6:$CM$53,CM24,$BC$6:$BC$53,INDEX(T_Equipos[Grupo],MATCH(BD24,T_Equipos[NombreEquipo],0)))&amp;")")</f>
        <v>P.1 (4)</v>
      </c>
      <c r="CO24" s="16">
        <f t="shared" ca="1" si="33"/>
        <v>0</v>
      </c>
      <c r="CP24" s="16">
        <f t="shared" ca="1" si="34"/>
        <v>0</v>
      </c>
      <c r="CQ24" s="16">
        <f t="shared" ca="1" si="51"/>
        <v>0</v>
      </c>
      <c r="CR24" s="16">
        <f ca="1">CM24+COUNTIFS($CN$6:$CN$53,CN24,$CQ$6:CQ$53,"&gt;"&amp;CQ24,$BC$6:$BC$53,INDEX(T_Equipos[Grupo],MATCH(BD24,T_Equipos[NombreEquipo],0)))</f>
        <v>1</v>
      </c>
      <c r="CS24" s="16" t="str">
        <f ca="1">IF(COUNTIFS($CR$6:$CR$53,CR24,$BC$6:$BC$53,INDEX(T_Equipos[Grupo],MATCH(BD24,T_Equipos[NombreEquipo],0)))=1,"-","P."&amp;CR24&amp;" ("&amp;COUNTIFS($CR$6:$CR$53,CR24,$BC$6:$BC$53,INDEX(T_Equipos[Grupo],MATCH(BD24,T_Equipos[NombreEquipo],0)))&amp;")")</f>
        <v>P.1 (4)</v>
      </c>
      <c r="CT24" s="16">
        <f t="shared" ca="1" si="35"/>
        <v>0</v>
      </c>
      <c r="CU24" s="16">
        <f ca="1">CR24+COUNTIFS($CS$6:$CS$53,CS24,$CT$6:CT$53,"&gt;"&amp;CT24,$BC$6:$BC$53,INDEX(T_Equipos[Grupo],MATCH(BD24,T_Equipos[NombreEquipo],0)))</f>
        <v>1</v>
      </c>
      <c r="CV24" s="16" t="str">
        <f ca="1">IF(COUNTIFS($CU$6:$CU$53,CU24,$BC$6:$BC$53,INDEX(T_Equipos[Grupo],MATCH(BD24,T_Equipos[NombreEquipo],0)))=1,"-","P."&amp;CU24&amp;" ("&amp;COUNTIFS($CU$6:$CU$53,CU24,$BC$6:$BC$53,INDEX(T_Equipos[Grupo],MATCH(BD24,T_Equipos[NombreEquipo],0)))&amp;")")</f>
        <v>P.1 (4)</v>
      </c>
      <c r="CW24" s="16">
        <f t="shared" ca="1" si="36"/>
        <v>0</v>
      </c>
      <c r="CX24" s="16">
        <f ca="1">CU24+COUNTIFS($CV$6:$CV$53,CV24,$CW$6:CW$53,"&gt;"&amp;CW24,$BC$6:$BC$53,INDEX(T_Equipos[Grupo],MATCH(BD24,T_Equipos[NombreEquipo],0)))</f>
        <v>1</v>
      </c>
      <c r="CY24" s="16" t="str">
        <f ca="1">IF(COUNTIFS($CX$6:$CX$53,CX24,$BC$6:$BC$53,INDEX(T_Equipos[Grupo],MATCH(BD24,T_Equipos[NombreEquipo],0)))=1,"-","P."&amp;CX24&amp;" ("&amp;COUNTIFS($CX$6:$CX$53,CX24,$BC$6:$BC$53,INDEX(T_Equipos[Grupo],MATCH(BD24,T_Equipos[NombreEquipo],0)))&amp;")")</f>
        <v>P.1 (4)</v>
      </c>
      <c r="CZ24" s="16">
        <f t="shared" ca="1" si="37"/>
        <v>0</v>
      </c>
      <c r="DA24" s="16">
        <f ca="1">CX24+COUNTIFS($CY$6:$CY$53,CY24,$CZ$6:CZ$53,"&gt;"&amp;CZ24,$BC$6:$BC$53,INDEX(T_Equipos[Grupo],MATCH(BD24,T_Equipos[NombreEquipo],0)))</f>
        <v>1</v>
      </c>
      <c r="DB24" s="16" t="str">
        <f ca="1">IF(COUNTIFS($DA$6:$DA$53,DA24,$BC$6:$BC$53,INDEX(T_Equipos[Grupo],MATCH(BD24,T_Equipos[NombreEquipo],0)))=1,"-","P."&amp;DA24&amp;" ("&amp;COUNTIFS($DA$6:$DA$53,DA24,$BC$6:$BC$53,INDEX(T_Equipos[Grupo],MATCH(BD24,T_Equipos[NombreEquipo],0)))&amp;")")</f>
        <v>P.1 (4)</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3</v>
      </c>
      <c r="DE24" s="16"/>
      <c r="DF24" s="16">
        <f t="shared" ca="1" si="52"/>
        <v>3</v>
      </c>
      <c r="DG24" s="16">
        <f ca="1">IF(DB24="-","-",COUNTIFS(DF$6:DF$53,"&lt;"&amp;DF24,$BC$6:$BC$53,INDEX(T_Equipos[Grupo],MATCH(BD24,T_Equipos[NombreEquipo],0))))</f>
        <v>2</v>
      </c>
      <c r="DH24" s="16">
        <f ca="1">DA24+COUNTIFS(DB$6:DB$53,DB24,DG$6:DG$53,"&lt;"&amp;DG24,$BC$6:$BC$53,INDEX(T_Equipos[Grupo],MATCH(BD24,T_Equipos[NombreEquipo],0)))</f>
        <v>3</v>
      </c>
      <c r="DI24" s="16"/>
      <c r="DJ24" s="16">
        <f t="shared" ca="1" si="38"/>
        <v>1</v>
      </c>
      <c r="DK24" s="16">
        <f t="shared" ca="1" si="39"/>
        <v>0</v>
      </c>
      <c r="DL24" s="16">
        <f t="shared" ca="1" si="40"/>
        <v>1</v>
      </c>
      <c r="DM24" s="16" t="str">
        <f t="shared" ca="1" si="46"/>
        <v>1.1</v>
      </c>
      <c r="DN24" s="16" cm="1">
        <f t="array" aca="1" ref="DN24" ca="1">OFFSET(Horarios!$P$3,DJ24-1,0,DL24,1)</f>
        <v>1</v>
      </c>
      <c r="DO24" s="16"/>
      <c r="DP24" s="16" t="s">
        <v>94</v>
      </c>
      <c r="DQ24" s="16" t="str">
        <f t="shared" ca="1" si="47"/>
        <v>Costa de Marfil</v>
      </c>
    </row>
    <row r="25" spans="1:121" ht="16" customHeight="1" thickBot="1" x14ac:dyDescent="0.25">
      <c r="A25" s="16"/>
      <c r="B25" s="16"/>
      <c r="C25" s="16"/>
      <c r="D25" s="16" t="str">
        <f t="shared" si="71"/>
        <v>Pendiente</v>
      </c>
      <c r="E25" s="16" t="str">
        <f t="shared" si="72"/>
        <v>-</v>
      </c>
      <c r="F25" s="16" t="str">
        <f t="shared" si="73"/>
        <v>-</v>
      </c>
      <c r="G25" s="16"/>
      <c r="H25" s="16" t="str">
        <f t="shared" si="74"/>
        <v>-</v>
      </c>
      <c r="I25" s="16" t="str">
        <f t="shared" si="75"/>
        <v>-</v>
      </c>
      <c r="J25" s="16"/>
      <c r="K25" s="16" t="str">
        <f t="shared" si="76"/>
        <v>-</v>
      </c>
      <c r="L25" s="16" t="str">
        <f t="shared" si="77"/>
        <v>-</v>
      </c>
      <c r="M25" s="16"/>
      <c r="N25" s="16" t="str">
        <f t="shared" si="78"/>
        <v>-</v>
      </c>
      <c r="O25" s="16" t="str">
        <f t="shared" si="79"/>
        <v>-</v>
      </c>
      <c r="P25" s="16"/>
      <c r="Q25" s="16" t="str">
        <f t="shared" si="80"/>
        <v>-</v>
      </c>
      <c r="R25" s="16" t="str">
        <f t="shared" si="81"/>
        <v>-</v>
      </c>
      <c r="S25" s="16"/>
      <c r="T25" s="16" t="str">
        <f t="shared" si="82"/>
        <v>-</v>
      </c>
      <c r="U25" s="16" t="str">
        <f t="shared" si="83"/>
        <v>-</v>
      </c>
      <c r="V25" s="17"/>
      <c r="W25" s="680"/>
      <c r="X25" s="28">
        <f ca="1">Horarios!C25</f>
        <v>46198</v>
      </c>
      <c r="Y25" s="29">
        <f ca="1">Horarios!C25</f>
        <v>46198</v>
      </c>
      <c r="Z25" s="30" t="str">
        <f>$Z$8</f>
        <v>J3</v>
      </c>
      <c r="AA25" s="31" t="str">
        <f ca="1">A22</f>
        <v>Marruecos</v>
      </c>
      <c r="AB25" s="52" t="str" cm="1">
        <f t="array" aca="1" ref="AB25" ca="1">Ver_flag_local</f>
        <v>🇲🇦</v>
      </c>
      <c r="AC25" s="53"/>
      <c r="AD25" s="54"/>
      <c r="AE25" s="596" t="str" cm="1">
        <f t="array" aca="1" ref="AE25" ca="1">Ver_flag_visit</f>
        <v>🇭🇹</v>
      </c>
      <c r="AF25" s="33" t="str">
        <f ca="1">A23</f>
        <v>Haití</v>
      </c>
      <c r="AG25" s="323">
        <f t="shared" si="84"/>
        <v>0</v>
      </c>
      <c r="AH25" s="195">
        <v>50</v>
      </c>
      <c r="AI25" s="181" t="str">
        <f t="shared" si="88"/>
        <v>4C</v>
      </c>
      <c r="AJ25" s="44">
        <v>4</v>
      </c>
      <c r="AK25" s="604" t="str" cm="1">
        <f t="array" aca="1" ref="AK25" ca="1">Ver_flag_visit</f>
        <v>🏴󠁧󠁢󠁳󠁣󠁴󠁿</v>
      </c>
      <c r="AL25" s="45" t="str">
        <f ca="1">IFERROR(INDEX($BD$6:$BD$53,MATCH(AI25,$BN$6:$BN$53,0)),"")</f>
        <v>Escocia</v>
      </c>
      <c r="AM25" s="46">
        <f t="shared" ca="1" si="87"/>
        <v>0</v>
      </c>
      <c r="AN25" s="47">
        <f t="shared" ca="1" si="87"/>
        <v>0</v>
      </c>
      <c r="AO25" s="47">
        <f t="shared" ca="1" si="87"/>
        <v>0</v>
      </c>
      <c r="AP25" s="47">
        <f t="shared" ca="1" si="87"/>
        <v>0</v>
      </c>
      <c r="AQ25" s="47">
        <f t="shared" ca="1" si="87"/>
        <v>0</v>
      </c>
      <c r="AR25" s="47">
        <f t="shared" ca="1" si="87"/>
        <v>0</v>
      </c>
      <c r="AS25" s="47">
        <f t="shared" ca="1" si="87"/>
        <v>0</v>
      </c>
      <c r="AT25" s="48">
        <f t="shared" ca="1" si="87"/>
        <v>0</v>
      </c>
      <c r="AU25" s="330">
        <f ca="1">INDEX($DL$6:$DL$53,MATCH(AI25,$DP$6:$DP$53,0))</f>
        <v>1</v>
      </c>
      <c r="AV25" s="182" t="str">
        <f ca="1">INDEX($BD$6:$BD$53,MATCH(AI25,$BM$6:$BM$53,0))</f>
        <v>Escocia</v>
      </c>
      <c r="AW25" s="210"/>
      <c r="AX25" s="171"/>
      <c r="AY25" s="205" t="str">
        <f ca="1">+A24</f>
        <v>Escocia</v>
      </c>
      <c r="AZ25" s="206"/>
      <c r="BA25" s="176"/>
      <c r="BC25" s="16" t="str">
        <f ca="1">+INDEX(T_Equipos[Grupo],MATCH(WORLDCUP!BD25,T_Equipos[NombreEquipo],0))</f>
        <v>E</v>
      </c>
      <c r="BD25" s="16" t="str">
        <f ca="1">+Equipos!B21</f>
        <v>Ecuador</v>
      </c>
      <c r="BE25" s="16">
        <f t="shared" ca="1" si="16"/>
        <v>0</v>
      </c>
      <c r="BF25" s="16">
        <f t="shared" ca="1" si="41"/>
        <v>0</v>
      </c>
      <c r="BG25" s="16">
        <f t="shared" ca="1" si="17"/>
        <v>0</v>
      </c>
      <c r="BH25" s="16">
        <f t="shared" ca="1" si="18"/>
        <v>0</v>
      </c>
      <c r="BI25" s="16">
        <f t="shared" ca="1" si="19"/>
        <v>0</v>
      </c>
      <c r="BJ25" s="16">
        <f t="shared" ca="1" si="20"/>
        <v>0</v>
      </c>
      <c r="BK25" s="16">
        <f t="shared" ca="1" si="21"/>
        <v>0</v>
      </c>
      <c r="BL25" s="16">
        <f t="shared" ca="1" si="42"/>
        <v>0</v>
      </c>
      <c r="BM25" s="16" t="str">
        <f t="shared" ca="1" si="22"/>
        <v>4E</v>
      </c>
      <c r="BN25" s="16" t="str">
        <f t="shared" ca="1" si="23"/>
        <v>4E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0</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(4)</v>
      </c>
      <c r="BU25" s="16">
        <f t="shared" ca="1" si="24"/>
        <v>0</v>
      </c>
      <c r="BV25" s="16">
        <f t="shared" ca="1" si="25"/>
        <v>0</v>
      </c>
      <c r="BW25" s="16">
        <f t="shared" ca="1" si="26"/>
        <v>0</v>
      </c>
      <c r="BX25" s="16">
        <f t="shared" ca="1" si="48"/>
        <v>0</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(4)</v>
      </c>
      <c r="CA25" s="16">
        <f t="shared" ca="1" si="27"/>
        <v>0</v>
      </c>
      <c r="CB25" s="16">
        <f t="shared" ca="1" si="28"/>
        <v>0</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(4)</v>
      </c>
      <c r="CF25" s="16">
        <f t="shared" ca="1" si="29"/>
        <v>0</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(4)</v>
      </c>
      <c r="CI25" s="16">
        <f t="shared" ca="1" si="30"/>
        <v>0</v>
      </c>
      <c r="CJ25" s="16">
        <f t="shared" ca="1" si="31"/>
        <v>0</v>
      </c>
      <c r="CK25" s="16">
        <f t="shared" ca="1" si="32"/>
        <v>0</v>
      </c>
      <c r="CL25" s="16">
        <f t="shared" ca="1" si="50"/>
        <v>0</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(4)</v>
      </c>
      <c r="CO25" s="16">
        <f t="shared" ca="1" si="33"/>
        <v>0</v>
      </c>
      <c r="CP25" s="16">
        <f t="shared" ca="1" si="34"/>
        <v>0</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(4)</v>
      </c>
      <c r="CT25" s="16">
        <f t="shared" ca="1" si="35"/>
        <v>0</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(4)</v>
      </c>
      <c r="CW25" s="16">
        <f t="shared" ca="1" si="36"/>
        <v>0</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P.1 (4)</v>
      </c>
      <c r="CZ25" s="16">
        <f t="shared" ca="1" si="37"/>
        <v>0</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P.1 (4)</v>
      </c>
      <c r="DC25" s="16">
        <f ca="1">IF(DB25="-","-",COUNTIFS(T_Equipos[Rank],"&lt;"&amp;INDEX(T_Equipos[Rank],MATCH(BD25,T_Equipos[NombreEquipo],0)),$BC$6:$BC$53,INDEX(T_Equipos[Grupo],MATCH(BD25,T_Equipos[NombreEquipo],0)))+1)</f>
        <v>4</v>
      </c>
      <c r="DD25" s="16">
        <f ca="1">DA25+COUNTIFS($DB$6:$DB$53,DB25,$DC$6:DC$53,"&lt;"&amp;DC25,$BC$6:$BC$53,INDEX(T_Equipos[Grupo],MATCH(BD25,T_Equipos[NombreEquipo],0)))</f>
        <v>4</v>
      </c>
      <c r="DE25" s="16"/>
      <c r="DF25" s="16">
        <f t="shared" ca="1" si="52"/>
        <v>4</v>
      </c>
      <c r="DG25" s="16">
        <f ca="1">IF(DB25="-","-",COUNTIFS(DF$6:DF$53,"&lt;"&amp;DF25,$BC$6:$BC$53,INDEX(T_Equipos[Grupo],MATCH(BD25,T_Equipos[NombreEquipo],0))))</f>
        <v>3</v>
      </c>
      <c r="DH25" s="16">
        <f ca="1">DA25+COUNTIFS(DB$6:DB$53,DB25,DG$6:DG$53,"&lt;"&amp;DG25,$BC$6:$BC$53,INDEX(T_Equipos[Grupo],MATCH(BD25,T_Equipos[NombreEquipo],0)))</f>
        <v>4</v>
      </c>
      <c r="DI25" s="16"/>
      <c r="DJ25" s="16">
        <f t="shared" ca="1" si="38"/>
        <v>1</v>
      </c>
      <c r="DK25" s="16">
        <f t="shared" ca="1" si="39"/>
        <v>0</v>
      </c>
      <c r="DL25" s="16">
        <f t="shared" ca="1" si="40"/>
        <v>1</v>
      </c>
      <c r="DM25" s="16" t="str">
        <f t="shared" ca="1" si="46"/>
        <v>1.1</v>
      </c>
      <c r="DN25" s="16" cm="1">
        <f t="array" aca="1" ref="DN25" ca="1">OFFSET(Horarios!$P$3,DJ25-1,0,DL25,1)</f>
        <v>1</v>
      </c>
      <c r="DO25" s="16"/>
      <c r="DP25" s="16" t="s">
        <v>675</v>
      </c>
      <c r="DQ25" s="16" t="str">
        <f t="shared" ca="1" si="47"/>
        <v>Ecuador</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0</v>
      </c>
      <c r="BF26" s="16">
        <f t="shared" ca="1" si="41"/>
        <v>0</v>
      </c>
      <c r="BG26" s="16">
        <f t="shared" ca="1" si="17"/>
        <v>0</v>
      </c>
      <c r="BH26" s="16">
        <f t="shared" ca="1" si="18"/>
        <v>0</v>
      </c>
      <c r="BI26" s="16">
        <f t="shared" ca="1" si="19"/>
        <v>0</v>
      </c>
      <c r="BJ26" s="16">
        <f t="shared" ca="1" si="20"/>
        <v>0</v>
      </c>
      <c r="BK26" s="16">
        <f t="shared" ca="1" si="21"/>
        <v>0</v>
      </c>
      <c r="BL26" s="16">
        <f t="shared" ca="1" si="42"/>
        <v>0</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0</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(4)</v>
      </c>
      <c r="BU26" s="16">
        <f t="shared" ca="1" si="24"/>
        <v>0</v>
      </c>
      <c r="BV26" s="16">
        <f t="shared" ca="1" si="25"/>
        <v>0</v>
      </c>
      <c r="BW26" s="16">
        <f t="shared" ca="1" si="26"/>
        <v>0</v>
      </c>
      <c r="BX26" s="16">
        <f t="shared" ca="1" si="48"/>
        <v>0</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(4)</v>
      </c>
      <c r="CA26" s="16">
        <f t="shared" ca="1" si="27"/>
        <v>0</v>
      </c>
      <c r="CB26" s="16">
        <f t="shared" ca="1" si="28"/>
        <v>0</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(4)</v>
      </c>
      <c r="CF26" s="16">
        <f t="shared" ca="1" si="29"/>
        <v>0</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(4)</v>
      </c>
      <c r="CI26" s="16">
        <f t="shared" ca="1" si="30"/>
        <v>0</v>
      </c>
      <c r="CJ26" s="16">
        <f t="shared" ca="1" si="31"/>
        <v>0</v>
      </c>
      <c r="CK26" s="16">
        <f t="shared" ca="1" si="32"/>
        <v>0</v>
      </c>
      <c r="CL26" s="16">
        <f t="shared" ca="1" si="50"/>
        <v>0</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(4)</v>
      </c>
      <c r="CO26" s="16">
        <f t="shared" ca="1" si="33"/>
        <v>0</v>
      </c>
      <c r="CP26" s="16">
        <f t="shared" ca="1" si="34"/>
        <v>0</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(4)</v>
      </c>
      <c r="CT26" s="16">
        <f t="shared" ca="1" si="35"/>
        <v>0</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(4)</v>
      </c>
      <c r="CW26" s="16">
        <f t="shared" ca="1" si="36"/>
        <v>0</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P.1 (4)</v>
      </c>
      <c r="CZ26" s="16">
        <f t="shared" ca="1" si="37"/>
        <v>0</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P.1 (4)</v>
      </c>
      <c r="DC26" s="16">
        <f ca="1">IF(DB26="-","-",COUNTIFS(T_Equipos[Rank],"&lt;"&amp;INDEX(T_Equipos[Rank],MATCH(BD26,T_Equipos[NombreEquipo],0)),$BC$6:$BC$53,INDEX(T_Equipos[Grupo],MATCH(BD26,T_Equipos[NombreEquipo],0)))+1)</f>
        <v>1</v>
      </c>
      <c r="DD26" s="16">
        <f ca="1">DA26+COUNTIFS($DB$6:$DB$53,DB26,$DC$6:DC$53,"&lt;"&amp;DC26,$BC$6:$BC$53,INDEX(T_Equipos[Grupo],MATCH(BD26,T_Equipos[NombreEquipo],0)))</f>
        <v>1</v>
      </c>
      <c r="DE26" s="16"/>
      <c r="DF26" s="16">
        <f t="shared" ca="1" si="52"/>
        <v>1</v>
      </c>
      <c r="DG26" s="16">
        <f ca="1">IF(DB26="-","-",COUNTIFS(DF$6:DF$53,"&lt;"&amp;DF26,$BC$6:$BC$53,INDEX(T_Equipos[Grupo],MATCH(BD26,T_Equipos[NombreEquipo],0))))</f>
        <v>0</v>
      </c>
      <c r="DH26" s="16">
        <f ca="1">DA26+COUNTIFS(DB$6:DB$53,DB26,DG$6:DG$53,"&lt;"&amp;DG26,$BC$6:$BC$53,INDEX(T_Equipos[Grupo],MATCH(BD26,T_Equipos[NombreEquipo],0)))</f>
        <v>1</v>
      </c>
      <c r="DI26" s="16"/>
      <c r="DJ26" s="16">
        <f t="shared" ca="1" si="38"/>
        <v>1</v>
      </c>
      <c r="DK26" s="16">
        <f t="shared" ca="1" si="39"/>
        <v>0</v>
      </c>
      <c r="DL26" s="16">
        <f t="shared" ca="1" si="40"/>
        <v>1</v>
      </c>
      <c r="DM26" s="16" t="str">
        <f t="shared" ca="1" si="46"/>
        <v>1.1</v>
      </c>
      <c r="DN26" s="16" cm="1">
        <f t="array" aca="1" ref="DN26" ca="1">OFFSET(Horarios!$P$3,DJ26-1,0,DL26,1)</f>
        <v>1</v>
      </c>
      <c r="DO26" s="16"/>
      <c r="DP26" s="16" t="s">
        <v>676</v>
      </c>
      <c r="DQ26" s="16" t="str">
        <f t="shared" ca="1" si="47"/>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0</v>
      </c>
      <c r="BF27" s="16">
        <f t="shared" ca="1" si="41"/>
        <v>0</v>
      </c>
      <c r="BG27" s="16">
        <f t="shared" ca="1" si="17"/>
        <v>0</v>
      </c>
      <c r="BH27" s="16">
        <f t="shared" ca="1" si="18"/>
        <v>0</v>
      </c>
      <c r="BI27" s="16">
        <f t="shared" ca="1" si="19"/>
        <v>0</v>
      </c>
      <c r="BJ27" s="16">
        <f t="shared" ca="1" si="20"/>
        <v>0</v>
      </c>
      <c r="BK27" s="16">
        <f t="shared" ca="1" si="21"/>
        <v>0</v>
      </c>
      <c r="BL27" s="16">
        <f t="shared" ca="1" si="42"/>
        <v>0</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0</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(4)</v>
      </c>
      <c r="BU27" s="16">
        <f t="shared" ca="1" si="24"/>
        <v>0</v>
      </c>
      <c r="BV27" s="16">
        <f t="shared" ca="1" si="25"/>
        <v>0</v>
      </c>
      <c r="BW27" s="16">
        <f t="shared" ca="1" si="26"/>
        <v>0</v>
      </c>
      <c r="BX27" s="16">
        <f t="shared" ca="1" si="48"/>
        <v>0</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(4)</v>
      </c>
      <c r="CA27" s="16">
        <f t="shared" ca="1" si="27"/>
        <v>0</v>
      </c>
      <c r="CB27" s="16">
        <f t="shared" ca="1" si="28"/>
        <v>0</v>
      </c>
      <c r="CC27" s="16">
        <f t="shared" ca="1" si="49"/>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(4)</v>
      </c>
      <c r="CF27" s="16">
        <f t="shared" ca="1" si="29"/>
        <v>0</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(4)</v>
      </c>
      <c r="CI27" s="16">
        <f t="shared" ca="1" si="30"/>
        <v>0</v>
      </c>
      <c r="CJ27" s="16">
        <f t="shared" ca="1" si="31"/>
        <v>0</v>
      </c>
      <c r="CK27" s="16">
        <f t="shared" ca="1" si="32"/>
        <v>0</v>
      </c>
      <c r="CL27" s="16">
        <f t="shared" ca="1" si="50"/>
        <v>0</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(4)</v>
      </c>
      <c r="CO27" s="16">
        <f t="shared" ca="1" si="33"/>
        <v>0</v>
      </c>
      <c r="CP27" s="16">
        <f t="shared" ca="1" si="34"/>
        <v>0</v>
      </c>
      <c r="CQ27" s="16">
        <f t="shared" ca="1" si="51"/>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(4)</v>
      </c>
      <c r="CT27" s="16">
        <f t="shared" ca="1" si="35"/>
        <v>0</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(4)</v>
      </c>
      <c r="CW27" s="16">
        <f t="shared" ca="1" si="36"/>
        <v>0</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P.1 (4)</v>
      </c>
      <c r="CZ27" s="16">
        <f t="shared" ca="1" si="37"/>
        <v>0</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P.1 (4)</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52"/>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38"/>
        <v>1</v>
      </c>
      <c r="DK27" s="16">
        <f t="shared" ca="1" si="39"/>
        <v>0</v>
      </c>
      <c r="DL27" s="16">
        <f t="shared" ca="1" si="40"/>
        <v>1</v>
      </c>
      <c r="DM27" s="16" t="str">
        <f t="shared" ca="1" si="46"/>
        <v>1.1</v>
      </c>
      <c r="DN27" s="16" cm="1">
        <f t="array" aca="1" ref="DN27" ca="1">OFFSET(Horarios!$P$3,DJ27-1,0,DL27,1)</f>
        <v>1</v>
      </c>
      <c r="DO27" s="16"/>
      <c r="DP27" s="16" t="s">
        <v>677</v>
      </c>
      <c r="DQ27" s="16" t="str">
        <f t="shared" ca="1" si="47"/>
        <v>Japón</v>
      </c>
    </row>
    <row r="28" spans="1:121" ht="16" customHeight="1" thickBot="1" x14ac:dyDescent="0.25">
      <c r="A28" s="16" t="s">
        <v>32</v>
      </c>
      <c r="B28" s="16" t="s">
        <v>74</v>
      </c>
      <c r="C28" s="16">
        <f>COUNTIF(Equipos!$C$2:$C$49,WORLDCUP!B28)</f>
        <v>4</v>
      </c>
      <c r="D28" s="16" t="str">
        <f t="shared" ref="D28:D33" si="91">IF(OR(AC28="",AD28=""),"Pendiente",IF(AC28&gt;AD28,"Local",IF(AC28&lt;AD28,"Visitante","Empate")))</f>
        <v>Pendiente</v>
      </c>
      <c r="E28" s="16" t="str">
        <f t="shared" ref="E28:E33" si="92">IF(D28="Pendiente","-",INDEX($BT$6:$BT$53,MATCH($AA28,$BD$6:$BD$53,0)))</f>
        <v>-</v>
      </c>
      <c r="F28" s="16" t="str">
        <f t="shared" ref="F28:F33" si="93">IF(D28="Pendiente","-",INDEX($BT$6:$BT$53,MATCH($AF28,$BD$6:$BD$53,0)))</f>
        <v>-</v>
      </c>
      <c r="G28" s="16"/>
      <c r="H28" s="16" t="str">
        <f t="shared" ref="H28:H33" si="94">IF(D28="Pendiente","-",INDEX($BZ$6:$BZ$53,MATCH($AA28,$BD$6:$BD$53,0)))</f>
        <v>-</v>
      </c>
      <c r="I28" s="16" t="str">
        <f t="shared" ref="I28:I33" si="95">IF(D28="Pendiente","-",INDEX($BZ$6:$BZ$53,MATCH($AF28,$BD$6:$BD$53,0)))</f>
        <v>-</v>
      </c>
      <c r="J28" s="16"/>
      <c r="K28" s="16" t="str">
        <f t="shared" ref="K28:K33" si="96">IF(D28="Pendiente","-",INDEX($CE$6:$CE$53,MATCH($AA28,$BD$6:$BD$53,0)))</f>
        <v>-</v>
      </c>
      <c r="L28" s="16" t="str">
        <f t="shared" ref="L28:L33" si="97">IF(D28="Pendiente","-",INDEX($CE$6:$CE$53,MATCH($AF28,$BD$6:$BD$53,0)))</f>
        <v>-</v>
      </c>
      <c r="M28" s="16"/>
      <c r="N28" s="16" t="str">
        <f t="shared" ref="N28:N33" si="98">IF(D28="Pendiente","-",INDEX($CH$6:$CH$53,MATCH($AA28,$BD$6:$BD$53,0)))</f>
        <v>-</v>
      </c>
      <c r="O28" s="16" t="str">
        <f t="shared" ref="O28:O33" si="99">IF(D28="Pendiente","-",INDEX($CH$6:$CH$53,MATCH($AF28,$BD$6:$BD$53,0)))</f>
        <v>-</v>
      </c>
      <c r="P28" s="16"/>
      <c r="Q28" s="16" t="str">
        <f t="shared" ref="Q28:Q33" si="100">IF(D28="Pendiente","-",INDEX($CN$6:$CN$53,MATCH($AA28,$BD$6:$BD$53,0)))</f>
        <v>-</v>
      </c>
      <c r="R28" s="16" t="str">
        <f t="shared" ref="R28:R33" si="101">IF(D28="Pendiente","-",INDEX($CN$6:$CN$53,MATCH($AF28,$BD$6:$BD$53,0)))</f>
        <v>-</v>
      </c>
      <c r="S28" s="16"/>
      <c r="T28" s="16" t="str">
        <f t="shared" ref="T28:T33" si="102">IF(D28="Pendiente","-",INDEX($CS$6:$CS$53,MATCH($AA28,$BD$6:$BD$53,0)))</f>
        <v>-</v>
      </c>
      <c r="U28" s="16" t="str">
        <f t="shared" ref="U28:U33"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v>
      </c>
      <c r="AC28" s="50"/>
      <c r="AD28" s="51"/>
      <c r="AE28" s="595" t="str" cm="1">
        <f t="array" aca="1" ref="AE28" ca="1">Ver_flag_visit</f>
        <v>🇵🇾</v>
      </c>
      <c r="AF28" s="32" t="str">
        <f ca="1">A30</f>
        <v>Paraguay</v>
      </c>
      <c r="AG28" s="323">
        <f t="shared" ref="AG28:AG33" si="104">IF(NOT(OR(ISBLANK(AC28),ISBLANK(AD28))),1,0)</f>
        <v>0</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0</v>
      </c>
      <c r="BF28" s="16">
        <f t="shared" ca="1" si="41"/>
        <v>0</v>
      </c>
      <c r="BG28" s="16">
        <f t="shared" ca="1" si="17"/>
        <v>0</v>
      </c>
      <c r="BH28" s="16">
        <f t="shared" ca="1" si="18"/>
        <v>0</v>
      </c>
      <c r="BI28" s="16">
        <f t="shared" ca="1" si="19"/>
        <v>0</v>
      </c>
      <c r="BJ28" s="16">
        <f t="shared" ca="1" si="20"/>
        <v>0</v>
      </c>
      <c r="BK28" s="16">
        <f t="shared" ca="1" si="21"/>
        <v>0</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0</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(4)</v>
      </c>
      <c r="BU28" s="16">
        <f t="shared" ca="1" si="24"/>
        <v>0</v>
      </c>
      <c r="BV28" s="16">
        <f t="shared" ca="1" si="25"/>
        <v>0</v>
      </c>
      <c r="BW28" s="16">
        <f t="shared" ca="1" si="26"/>
        <v>0</v>
      </c>
      <c r="BX28" s="16">
        <f t="shared" ca="1" si="48"/>
        <v>0</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(4)</v>
      </c>
      <c r="CA28" s="16">
        <f t="shared" ca="1" si="27"/>
        <v>0</v>
      </c>
      <c r="CB28" s="16">
        <f t="shared" ca="1" si="28"/>
        <v>0</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(4)</v>
      </c>
      <c r="CF28" s="16">
        <f t="shared" ca="1" si="29"/>
        <v>0</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(4)</v>
      </c>
      <c r="CI28" s="16">
        <f t="shared" ca="1" si="30"/>
        <v>0</v>
      </c>
      <c r="CJ28" s="16">
        <f t="shared" ca="1" si="31"/>
        <v>0</v>
      </c>
      <c r="CK28" s="16">
        <f t="shared" ca="1" si="32"/>
        <v>0</v>
      </c>
      <c r="CL28" s="16">
        <f t="shared" ca="1" si="50"/>
        <v>0</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(4)</v>
      </c>
      <c r="CO28" s="16">
        <f t="shared" ca="1" si="33"/>
        <v>0</v>
      </c>
      <c r="CP28" s="16">
        <f t="shared" ca="1" si="34"/>
        <v>0</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(4)</v>
      </c>
      <c r="CT28" s="16">
        <f t="shared" ca="1" si="35"/>
        <v>0</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(4)</v>
      </c>
      <c r="CW28" s="16">
        <f t="shared" ca="1" si="36"/>
        <v>0</v>
      </c>
      <c r="CX28" s="16">
        <f ca="1">CU28+COUNTIFS($CV$6:$CV$53,CV28,$CW$6:CW$53,"&gt;"&amp;CW28,$BC$6:$BC$53,INDEX(T_Equipos[Grupo],MATCH(BD28,T_Equipos[NombreEquipo],0)))</f>
        <v>1</v>
      </c>
      <c r="CY28" s="16" t="str">
        <f ca="1">IF(COUNTIFS($CX$6:$CX$53,CX28,$BC$6:$BC$53,INDEX(T_Equipos[Grupo],MATCH(BD28,T_Equipos[NombreEquipo],0)))=1,"-","P."&amp;CX28&amp;" ("&amp;COUNTIFS($CX$6:$CX$53,CX28,$BC$6:$BC$53,INDEX(T_Equipos[Grupo],MATCH(BD28,T_Equipos[NombreEquipo],0)))&amp;")")</f>
        <v>P.1 (4)</v>
      </c>
      <c r="CZ28" s="16">
        <f t="shared" ca="1" si="37"/>
        <v>0</v>
      </c>
      <c r="DA28" s="16">
        <f ca="1">CX28+COUNTIFS($CY$6:$CY$53,CY28,$CZ$6:CZ$53,"&gt;"&amp;CZ28,$BC$6:$BC$53,INDEX(T_Equipos[Grupo],MATCH(BD28,T_Equipos[NombreEquipo],0)))</f>
        <v>1</v>
      </c>
      <c r="DB28" s="16" t="str">
        <f ca="1">IF(COUNTIFS($DA$6:$DA$53,DA28,$BC$6:$BC$53,INDEX(T_Equipos[Grupo],MATCH(BD28,T_Equipos[NombreEquipo],0)))=1,"-","P."&amp;DA28&amp;" ("&amp;COUNTIFS($DA$6:$DA$53,DA28,$BC$6:$BC$53,INDEX(T_Equipos[Grupo],MATCH(BD28,T_Equipos[NombreEquipo],0)))&amp;")")</f>
        <v>P.1 (4)</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3</v>
      </c>
      <c r="DE28" s="16"/>
      <c r="DF28" s="16">
        <f t="shared" ca="1" si="52"/>
        <v>3</v>
      </c>
      <c r="DG28" s="16">
        <f ca="1">IF(DB28="-","-",COUNTIFS(DF$6:DF$53,"&lt;"&amp;DF28,$BC$6:$BC$53,INDEX(T_Equipos[Grupo],MATCH(BD28,T_Equipos[NombreEquipo],0))))</f>
        <v>2</v>
      </c>
      <c r="DH28" s="16">
        <f ca="1">DA28+COUNTIFS(DB$6:DB$53,DB28,DG$6:DG$53,"&lt;"&amp;DG28,$BC$6:$BC$53,INDEX(T_Equipos[Grupo],MATCH(BD28,T_Equipos[NombreEquipo],0)))</f>
        <v>3</v>
      </c>
      <c r="DI28" s="16"/>
      <c r="DJ28" s="16">
        <f t="shared" ca="1" si="38"/>
        <v>1</v>
      </c>
      <c r="DK28" s="16">
        <f t="shared" ca="1" si="39"/>
        <v>0</v>
      </c>
      <c r="DL28" s="16">
        <f t="shared" ca="1" si="40"/>
        <v>1</v>
      </c>
      <c r="DM28" s="16" t="str">
        <f t="shared" ca="1" si="46"/>
        <v>1.1</v>
      </c>
      <c r="DN28" s="16" cm="1">
        <f t="array" aca="1" ref="DN28" ca="1">OFFSET(Horarios!$P$3,DJ28-1,0,DL28,1)</f>
        <v>1</v>
      </c>
      <c r="DO28" s="16"/>
      <c r="DP28" s="16" t="s">
        <v>95</v>
      </c>
      <c r="DQ28" s="16" t="str">
        <f t="shared" ca="1" si="47"/>
        <v>Suecia</v>
      </c>
    </row>
    <row r="29" spans="1:121" ht="16" customHeight="1" x14ac:dyDescent="0.2">
      <c r="A29" s="16" t="str">
        <f ca="1">+Equipos!B14</f>
        <v>Estados Unidos</v>
      </c>
      <c r="B29" s="16"/>
      <c r="C29" s="16"/>
      <c r="D29" s="16" t="str">
        <f t="shared" si="91"/>
        <v>Pendiente</v>
      </c>
      <c r="E29" s="16" t="str">
        <f t="shared" si="92"/>
        <v>-</v>
      </c>
      <c r="F29" s="16" t="str">
        <f t="shared" si="93"/>
        <v>-</v>
      </c>
      <c r="G29" s="16"/>
      <c r="H29" s="16" t="str">
        <f t="shared" si="94"/>
        <v>-</v>
      </c>
      <c r="I29" s="16" t="str">
        <f t="shared" si="95"/>
        <v>-</v>
      </c>
      <c r="J29" s="16"/>
      <c r="K29" s="16" t="str">
        <f t="shared" si="96"/>
        <v>-</v>
      </c>
      <c r="L29" s="16" t="str">
        <f t="shared" si="97"/>
        <v>-</v>
      </c>
      <c r="M29" s="16"/>
      <c r="N29" s="16" t="str">
        <f t="shared" si="98"/>
        <v>-</v>
      </c>
      <c r="O29" s="16" t="str">
        <f t="shared" si="99"/>
        <v>-</v>
      </c>
      <c r="P29" s="16"/>
      <c r="Q29" s="16" t="str">
        <f t="shared" si="100"/>
        <v>-</v>
      </c>
      <c r="R29" s="16" t="str">
        <f t="shared" si="101"/>
        <v>-</v>
      </c>
      <c r="S29" s="16"/>
      <c r="T29" s="16" t="str">
        <f t="shared" si="102"/>
        <v>-</v>
      </c>
      <c r="U29" s="16" t="str">
        <f t="shared" si="103"/>
        <v>-</v>
      </c>
      <c r="V29" s="17"/>
      <c r="W29" s="681"/>
      <c r="X29" s="24">
        <f ca="1">Horarios!C29</f>
        <v>46187.25</v>
      </c>
      <c r="Y29" s="25">
        <f ca="1">Horarios!C29</f>
        <v>46187.25</v>
      </c>
      <c r="Z29" s="26" t="str">
        <f>$Z$4</f>
        <v>J1</v>
      </c>
      <c r="AA29" s="27" t="str">
        <f ca="1">A31</f>
        <v>Australia</v>
      </c>
      <c r="AB29" s="49" t="str" cm="1">
        <f t="array" aca="1" ref="AB29" ca="1">Ver_flag_local</f>
        <v>🇦🇺</v>
      </c>
      <c r="AC29" s="50"/>
      <c r="AD29" s="51"/>
      <c r="AE29" s="595" t="str" cm="1">
        <f t="array" aca="1" ref="AE29" ca="1">Ver_flag_visit</f>
        <v>🇹🇷</v>
      </c>
      <c r="AF29" s="32" t="str">
        <f ca="1">A32</f>
        <v>Turquía</v>
      </c>
      <c r="AG29" s="323">
        <f t="shared" si="104"/>
        <v>0</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0</v>
      </c>
      <c r="BG29" s="16">
        <f t="shared" ca="1" si="17"/>
        <v>0</v>
      </c>
      <c r="BH29" s="16">
        <f t="shared" ca="1" si="18"/>
        <v>0</v>
      </c>
      <c r="BI29" s="16">
        <f t="shared" ca="1" si="19"/>
        <v>0</v>
      </c>
      <c r="BJ29" s="16">
        <f t="shared" ca="1" si="20"/>
        <v>0</v>
      </c>
      <c r="BK29" s="16">
        <f t="shared" ca="1" si="21"/>
        <v>0</v>
      </c>
      <c r="BL29" s="16">
        <f t="shared" ca="1" si="42"/>
        <v>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1</v>
      </c>
      <c r="BT29" s="16" t="str">
        <f ca="1">IF(COUNTIFS($BS$6:$BS$53,BS29,$BC$6:$BC$53,INDEX(T_Equipos[Grupo],MATCH(BD29,T_Equipos[NombreEquipo],0)))=1,"-","P."&amp;BS29&amp;" ("&amp;COUNTIFS($BS$6:$BS$53,BS29,$BC$6:$BC$53,INDEX(T_Equipos[Grupo],MATCH(BD29,T_Equipos[NombreEquipo],0)))&amp;")")</f>
        <v>P.1 (4)</v>
      </c>
      <c r="BU29" s="16">
        <f t="shared" ca="1" si="24"/>
        <v>0</v>
      </c>
      <c r="BV29" s="16">
        <f t="shared" ca="1" si="25"/>
        <v>0</v>
      </c>
      <c r="BW29" s="16">
        <f t="shared" ca="1" si="26"/>
        <v>0</v>
      </c>
      <c r="BX29" s="16">
        <f t="shared" ca="1" si="48"/>
        <v>0</v>
      </c>
      <c r="BY29" s="16">
        <f ca="1">BS29+COUNTIFS($BT$6:$BT$53,BT29,$BX$6:BX$53,"&gt;"&amp;BX29,$BC$6:$BC$53,INDEX(T_Equipos[Grupo],MATCH(BD29,T_Equipos[NombreEquipo],0)))</f>
        <v>1</v>
      </c>
      <c r="BZ29" s="16" t="str">
        <f ca="1">IF(COUNTIFS($BY$6:$BY$53,BY29,$BC$6:$BC$53,INDEX(T_Equipos[Grupo],MATCH(BD29,T_Equipos[NombreEquipo],0)))=1,"-","P."&amp;BY29&amp;" ("&amp;COUNTIFS($BY$6:$BY$53,BY29,$BC$6:$BC$53,INDEX(T_Equipos[Grupo],MATCH(BD29,T_Equipos[NombreEquipo],0)))&amp;")")</f>
        <v>P.1 (4)</v>
      </c>
      <c r="CA29" s="16">
        <f t="shared" ca="1" si="27"/>
        <v>0</v>
      </c>
      <c r="CB29" s="16">
        <f t="shared" ca="1" si="28"/>
        <v>0</v>
      </c>
      <c r="CC29" s="16">
        <f t="shared" ca="1" si="49"/>
        <v>0</v>
      </c>
      <c r="CD29" s="16">
        <f ca="1">BY29+COUNTIFS($BZ$6:$BZ$53,BZ29,$CC$6:CC$53,"&gt;"&amp;CC29,$BC$6:$BC$53,INDEX(T_Equipos[Grupo],MATCH(BD29,T_Equipos[NombreEquipo],0)))</f>
        <v>1</v>
      </c>
      <c r="CE29" s="16" t="str">
        <f ca="1">IF(COUNTIFS($CD$6:$CD$53,CD29,$BC$6:$BC$53,INDEX(T_Equipos[Grupo],MATCH(BD29,T_Equipos[NombreEquipo],0)))=1,"-","P."&amp;CD29&amp;" ("&amp;COUNTIFS($CD$6:$CD$53,CD29,$BC$6:$BC$53,INDEX(T_Equipos[Grupo],MATCH(BD29,T_Equipos[NombreEquipo],0)))&amp;")")</f>
        <v>P.1 (4)</v>
      </c>
      <c r="CF29" s="16">
        <f t="shared" ca="1" si="29"/>
        <v>0</v>
      </c>
      <c r="CG29" s="16">
        <f ca="1">CD29+COUNTIFS($CE$6:$CE$53,CE29,$CF$6:CF$53,"&gt;"&amp;CF29,$BC$6:$BC$53,INDEX(T_Equipos[Grupo],MATCH(BD29,T_Equipos[NombreEquipo],0)))</f>
        <v>1</v>
      </c>
      <c r="CH29" s="16" t="str">
        <f ca="1">IF(COUNTIFS($CG$6:$CG$53,CG29,$BC$6:$BC$53,INDEX(T_Equipos[Grupo],MATCH(BD29,T_Equipos[NombreEquipo],0)))=1,"-","P."&amp;CG29&amp;" ("&amp;COUNTIFS($CG$6:$CG$53,CG29,$BC$6:$BC$53,INDEX(T_Equipos[Grupo],MATCH(BD29,T_Equipos[NombreEquipo],0)))&amp;")")</f>
        <v>P.1 (4)</v>
      </c>
      <c r="CI29" s="16">
        <f t="shared" ca="1" si="30"/>
        <v>0</v>
      </c>
      <c r="CJ29" s="16">
        <f t="shared" ca="1" si="31"/>
        <v>0</v>
      </c>
      <c r="CK29" s="16">
        <f t="shared" ca="1" si="32"/>
        <v>0</v>
      </c>
      <c r="CL29" s="16">
        <f t="shared" ca="1" si="50"/>
        <v>0</v>
      </c>
      <c r="CM29" s="16">
        <f ca="1">CG29+COUNTIFS($CH$6:$CH$53,CH29,$CL$6:CL$53,"&gt;"&amp;CL29,$BC$6:$BC$53,INDEX(T_Equipos[Grupo],MATCH(BD29,T_Equipos[NombreEquipo],0)))</f>
        <v>1</v>
      </c>
      <c r="CN29" s="16" t="str">
        <f ca="1">IF(COUNTIFS($CM$6:$CM$53,CM29,$BC$6:$BC$53,INDEX(T_Equipos[Grupo],MATCH(BD29,T_Equipos[NombreEquipo],0)))=1,"-","P."&amp;CM29&amp;" ("&amp;COUNTIFS($CM$6:$CM$53,CM29,$BC$6:$BC$53,INDEX(T_Equipos[Grupo],MATCH(BD29,T_Equipos[NombreEquipo],0)))&amp;")")</f>
        <v>P.1 (4)</v>
      </c>
      <c r="CO29" s="16">
        <f t="shared" ca="1" si="33"/>
        <v>0</v>
      </c>
      <c r="CP29" s="16">
        <f t="shared" ca="1" si="34"/>
        <v>0</v>
      </c>
      <c r="CQ29" s="16">
        <f t="shared" ca="1" si="51"/>
        <v>0</v>
      </c>
      <c r="CR29" s="16">
        <f ca="1">CM29+COUNTIFS($CN$6:$CN$53,CN29,$CQ$6:CQ$53,"&gt;"&amp;CQ29,$BC$6:$BC$53,INDEX(T_Equipos[Grupo],MATCH(BD29,T_Equipos[NombreEquipo],0)))</f>
        <v>1</v>
      </c>
      <c r="CS29" s="16" t="str">
        <f ca="1">IF(COUNTIFS($CR$6:$CR$53,CR29,$BC$6:$BC$53,INDEX(T_Equipos[Grupo],MATCH(BD29,T_Equipos[NombreEquipo],0)))=1,"-","P."&amp;CR29&amp;" ("&amp;COUNTIFS($CR$6:$CR$53,CR29,$BC$6:$BC$53,INDEX(T_Equipos[Grupo],MATCH(BD29,T_Equipos[NombreEquipo],0)))&amp;")")</f>
        <v>P.1 (4)</v>
      </c>
      <c r="CT29" s="16">
        <f t="shared" ca="1" si="35"/>
        <v>0</v>
      </c>
      <c r="CU29" s="16">
        <f ca="1">CR29+COUNTIFS($CS$6:$CS$53,CS29,$CT$6:CT$53,"&gt;"&amp;CT29,$BC$6:$BC$53,INDEX(T_Equipos[Grupo],MATCH(BD29,T_Equipos[NombreEquipo],0)))</f>
        <v>1</v>
      </c>
      <c r="CV29" s="16" t="str">
        <f ca="1">IF(COUNTIFS($CU$6:$CU$53,CU29,$BC$6:$BC$53,INDEX(T_Equipos[Grupo],MATCH(BD29,T_Equipos[NombreEquipo],0)))=1,"-","P."&amp;CU29&amp;" ("&amp;COUNTIFS($CU$6:$CU$53,CU29,$BC$6:$BC$53,INDEX(T_Equipos[Grupo],MATCH(BD29,T_Equipos[NombreEquipo],0)))&amp;")")</f>
        <v>P.1 (4)</v>
      </c>
      <c r="CW29" s="16">
        <f t="shared" ca="1" si="36"/>
        <v>0</v>
      </c>
      <c r="CX29" s="16">
        <f ca="1">CU29+COUNTIFS($CV$6:$CV$53,CV29,$CW$6:CW$53,"&gt;"&amp;CW29,$BC$6:$BC$53,INDEX(T_Equipos[Grupo],MATCH(BD29,T_Equipos[NombreEquipo],0)))</f>
        <v>1</v>
      </c>
      <c r="CY29" s="16" t="str">
        <f ca="1">IF(COUNTIFS($CX$6:$CX$53,CX29,$BC$6:$BC$53,INDEX(T_Equipos[Grupo],MATCH(BD29,T_Equipos[NombreEquipo],0)))=1,"-","P."&amp;CX29&amp;" ("&amp;COUNTIFS($CX$6:$CX$53,CX29,$BC$6:$BC$53,INDEX(T_Equipos[Grupo],MATCH(BD29,T_Equipos[NombreEquipo],0)))&amp;")")</f>
        <v>P.1 (4)</v>
      </c>
      <c r="CZ29" s="16">
        <f t="shared" ca="1" si="37"/>
        <v>0</v>
      </c>
      <c r="DA29" s="16">
        <f ca="1">CX29+COUNTIFS($CY$6:$CY$53,CY29,$CZ$6:CZ$53,"&gt;"&amp;CZ29,$BC$6:$BC$53,INDEX(T_Equipos[Grupo],MATCH(BD29,T_Equipos[NombreEquipo],0)))</f>
        <v>1</v>
      </c>
      <c r="DB29" s="16" t="str">
        <f ca="1">IF(COUNTIFS($DA$6:$DA$53,DA29,$BC$6:$BC$53,INDEX(T_Equipos[Grupo],MATCH(BD29,T_Equipos[NombreEquipo],0)))=1,"-","P."&amp;DA29&amp;" ("&amp;COUNTIFS($DA$6:$DA$53,DA29,$BC$6:$BC$53,INDEX(T_Equipos[Grupo],MATCH(BD29,T_Equipos[NombreEquipo],0)))&amp;")")</f>
        <v>P.1 (4)</v>
      </c>
      <c r="DC29" s="16">
        <f ca="1">IF(DB29="-","-",COUNTIFS(T_Equipos[Rank],"&lt;"&amp;INDEX(T_Equipos[Rank],MATCH(BD29,T_Equipos[NombreEquipo],0)),$BC$6:$BC$53,INDEX(T_Equipos[Grupo],MATCH(BD29,T_Equipos[NombreEquipo],0)))+1)</f>
        <v>4</v>
      </c>
      <c r="DD29" s="16">
        <f ca="1">DA29+COUNTIFS($DB$6:$DB$53,DB29,$DC$6:DC$53,"&lt;"&amp;DC29,$BC$6:$BC$53,INDEX(T_Equipos[Grupo],MATCH(BD29,T_Equipos[NombreEquipo],0)))</f>
        <v>4</v>
      </c>
      <c r="DE29" s="16"/>
      <c r="DF29" s="16">
        <f t="shared" ca="1" si="52"/>
        <v>4</v>
      </c>
      <c r="DG29" s="16">
        <f ca="1">IF(DB29="-","-",COUNTIFS(DF$6:DF$53,"&lt;"&amp;DF29,$BC$6:$BC$53,INDEX(T_Equipos[Grupo],MATCH(BD29,T_Equipos[NombreEquipo],0))))</f>
        <v>3</v>
      </c>
      <c r="DH29" s="16">
        <f ca="1">DA29+COUNTIFS(DB$6:DB$53,DB29,DG$6:DG$53,"&lt;"&amp;DG29,$BC$6:$BC$53,INDEX(T_Equipos[Grupo],MATCH(BD29,T_Equipos[NombreEquipo],0)))</f>
        <v>4</v>
      </c>
      <c r="DI29" s="16"/>
      <c r="DJ29" s="16">
        <f t="shared" ca="1" si="38"/>
        <v>1</v>
      </c>
      <c r="DK29" s="16">
        <f t="shared" ca="1" si="39"/>
        <v>0</v>
      </c>
      <c r="DL29" s="16">
        <f t="shared" ca="1" si="40"/>
        <v>1</v>
      </c>
      <c r="DM29" s="16" t="str">
        <f t="shared" ca="1" si="46"/>
        <v>1.1</v>
      </c>
      <c r="DN29" s="16" cm="1">
        <f t="array" aca="1" ref="DN29" ca="1">OFFSET(Horarios!$P$3,DJ29-1,0,DL29,1)</f>
        <v>1</v>
      </c>
      <c r="DO29" s="16"/>
      <c r="DP29" s="16" t="s">
        <v>678</v>
      </c>
      <c r="DQ29" s="16" t="str">
        <f t="shared" ca="1" si="47"/>
        <v>Túnez</v>
      </c>
    </row>
    <row r="30" spans="1:121" ht="16" customHeight="1" x14ac:dyDescent="0.2">
      <c r="A30" s="16" t="str">
        <f ca="1">+Equipos!B15</f>
        <v>Paraguay</v>
      </c>
      <c r="B30" s="16"/>
      <c r="C30" s="16"/>
      <c r="D30" s="16" t="str">
        <f t="shared" si="91"/>
        <v>Pendiente</v>
      </c>
      <c r="E30" s="16" t="str">
        <f t="shared" si="92"/>
        <v>-</v>
      </c>
      <c r="F30" s="16" t="str">
        <f t="shared" si="93"/>
        <v>-</v>
      </c>
      <c r="G30" s="16"/>
      <c r="H30" s="16" t="str">
        <f t="shared" si="94"/>
        <v>-</v>
      </c>
      <c r="I30" s="16" t="str">
        <f t="shared" si="95"/>
        <v>-</v>
      </c>
      <c r="J30" s="16"/>
      <c r="K30" s="16" t="str">
        <f t="shared" si="96"/>
        <v>-</v>
      </c>
      <c r="L30" s="16" t="str">
        <f t="shared" si="97"/>
        <v>-</v>
      </c>
      <c r="M30" s="16"/>
      <c r="N30" s="16" t="str">
        <f t="shared" si="98"/>
        <v>-</v>
      </c>
      <c r="O30" s="16" t="str">
        <f t="shared" si="99"/>
        <v>-</v>
      </c>
      <c r="P30" s="16"/>
      <c r="Q30" s="16" t="str">
        <f t="shared" si="100"/>
        <v>-</v>
      </c>
      <c r="R30" s="16" t="str">
        <f t="shared" si="101"/>
        <v>-</v>
      </c>
      <c r="S30" s="16"/>
      <c r="T30" s="16" t="str">
        <f t="shared" si="102"/>
        <v>-</v>
      </c>
      <c r="U30" s="16" t="str">
        <f t="shared" si="103"/>
        <v>-</v>
      </c>
      <c r="V30" s="17"/>
      <c r="W30" s="681"/>
      <c r="X30" s="24">
        <f ca="1">Horarios!C30</f>
        <v>46192.875</v>
      </c>
      <c r="Y30" s="25">
        <f ca="1">Horarios!C30</f>
        <v>46192.875</v>
      </c>
      <c r="Z30" s="26" t="str">
        <f>$Z$6</f>
        <v>J2</v>
      </c>
      <c r="AA30" s="27" t="str">
        <f ca="1">A29</f>
        <v>Estados Unidos</v>
      </c>
      <c r="AB30" s="49" t="str" cm="1">
        <f t="array" aca="1" ref="AB30" ca="1">Ver_flag_local</f>
        <v>🇺🇸</v>
      </c>
      <c r="AC30" s="50"/>
      <c r="AD30" s="51"/>
      <c r="AE30" s="595" t="str" cm="1">
        <f t="array" aca="1" ref="AE30" ca="1">Ver_flag_visit</f>
        <v>🇦🇺</v>
      </c>
      <c r="AF30" s="32" t="str">
        <f ca="1">A31</f>
        <v>Australia</v>
      </c>
      <c r="AG30" s="323">
        <f t="shared" si="104"/>
        <v>0</v>
      </c>
      <c r="AH30" s="195">
        <v>32</v>
      </c>
      <c r="AI30" s="181" t="str">
        <f>AJ30&amp;$B$28</f>
        <v>1D</v>
      </c>
      <c r="AJ30" s="40">
        <v>1</v>
      </c>
      <c r="AK30" s="601" t="str" cm="1">
        <f t="array" aca="1" ref="AK30" ca="1">Ver_flag_visit</f>
        <v>🇺🇸</v>
      </c>
      <c r="AL30" s="34" t="str">
        <f ca="1">IFERROR(INDEX($BD$6:$BD$53,MATCH(AI30,$BN$6:$BN$53,0)),"")</f>
        <v>Estados Unidos</v>
      </c>
      <c r="AM30" s="35">
        <f t="shared" ref="AM30:AT33" ca="1" si="107">INDEX($BE$6:$BN$53,MATCH($AL30,$BD$6:$BD$53,0),MATCH(AM$5,$BE$5:$BN$5,0))</f>
        <v>0</v>
      </c>
      <c r="AN30" s="36">
        <f t="shared" ca="1" si="107"/>
        <v>0</v>
      </c>
      <c r="AO30" s="36">
        <f t="shared" ca="1" si="107"/>
        <v>0</v>
      </c>
      <c r="AP30" s="36">
        <f t="shared" ca="1" si="107"/>
        <v>0</v>
      </c>
      <c r="AQ30" s="36">
        <f t="shared" ca="1" si="107"/>
        <v>0</v>
      </c>
      <c r="AR30" s="36">
        <f t="shared" ca="1" si="107"/>
        <v>0</v>
      </c>
      <c r="AS30" s="36">
        <f t="shared" ca="1" si="107"/>
        <v>0</v>
      </c>
      <c r="AT30" s="41">
        <f t="shared" ca="1" si="107"/>
        <v>0</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0</v>
      </c>
      <c r="BF30" s="16">
        <f t="shared" ca="1" si="41"/>
        <v>0</v>
      </c>
      <c r="BG30" s="16">
        <f t="shared" ca="1" si="17"/>
        <v>0</v>
      </c>
      <c r="BH30" s="16">
        <f t="shared" ca="1" si="18"/>
        <v>0</v>
      </c>
      <c r="BI30" s="16">
        <f t="shared" ca="1" si="19"/>
        <v>0</v>
      </c>
      <c r="BJ30" s="16">
        <f t="shared" ca="1" si="20"/>
        <v>0</v>
      </c>
      <c r="BK30" s="16">
        <f t="shared" ca="1" si="21"/>
        <v>0</v>
      </c>
      <c r="BL30" s="16">
        <f t="shared" ca="1" si="42"/>
        <v>0</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0</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(4)</v>
      </c>
      <c r="BU30" s="16">
        <f t="shared" ca="1" si="24"/>
        <v>0</v>
      </c>
      <c r="BV30" s="16">
        <f t="shared" ca="1" si="25"/>
        <v>0</v>
      </c>
      <c r="BW30" s="16">
        <f t="shared" ca="1" si="26"/>
        <v>0</v>
      </c>
      <c r="BX30" s="16">
        <f t="shared" ca="1" si="48"/>
        <v>0</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(4)</v>
      </c>
      <c r="CA30" s="16">
        <f t="shared" ca="1" si="27"/>
        <v>0</v>
      </c>
      <c r="CB30" s="16">
        <f t="shared" ca="1" si="28"/>
        <v>0</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(4)</v>
      </c>
      <c r="CF30" s="16">
        <f t="shared" ca="1" si="29"/>
        <v>0</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(4)</v>
      </c>
      <c r="CI30" s="16">
        <f t="shared" ca="1" si="30"/>
        <v>0</v>
      </c>
      <c r="CJ30" s="16">
        <f t="shared" ca="1" si="31"/>
        <v>0</v>
      </c>
      <c r="CK30" s="16">
        <f t="shared" ca="1" si="32"/>
        <v>0</v>
      </c>
      <c r="CL30" s="16">
        <f t="shared" ca="1" si="50"/>
        <v>0</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(4)</v>
      </c>
      <c r="CO30" s="16">
        <f t="shared" ca="1" si="33"/>
        <v>0</v>
      </c>
      <c r="CP30" s="16">
        <f t="shared" ca="1" si="34"/>
        <v>0</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(4)</v>
      </c>
      <c r="CT30" s="16">
        <f t="shared" ca="1" si="35"/>
        <v>0</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(4)</v>
      </c>
      <c r="CW30" s="16">
        <f t="shared" ca="1" si="36"/>
        <v>0</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P.1 (4)</v>
      </c>
      <c r="CZ30" s="16">
        <f t="shared" ca="1" si="37"/>
        <v>0</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P.1 (4)</v>
      </c>
      <c r="DC30" s="16">
        <f ca="1">IF(DB30="-","-",COUNTIFS(T_Equipos[Rank],"&lt;"&amp;INDEX(T_Equipos[Rank],MATCH(BD30,T_Equipos[NombreEquipo],0)),$BC$6:$BC$53,INDEX(T_Equipos[Grupo],MATCH(BD30,T_Equipos[NombreEquipo],0)))+1)</f>
        <v>1</v>
      </c>
      <c r="DD30" s="16">
        <f ca="1">DA30+COUNTIFS($DB$6:$DB$53,DB30,$DC$6:DC$53,"&lt;"&amp;DC30,$BC$6:$BC$53,INDEX(T_Equipos[Grupo],MATCH(BD30,T_Equipos[NombreEquipo],0)))</f>
        <v>1</v>
      </c>
      <c r="DE30" s="16"/>
      <c r="DF30" s="16">
        <f t="shared" ca="1" si="52"/>
        <v>1</v>
      </c>
      <c r="DG30" s="16">
        <f ca="1">IF(DB30="-","-",COUNTIFS(DF$6:DF$53,"&lt;"&amp;DF30,$BC$6:$BC$53,INDEX(T_Equipos[Grupo],MATCH(BD30,T_Equipos[NombreEquipo],0))))</f>
        <v>0</v>
      </c>
      <c r="DH30" s="16">
        <f ca="1">DA30+COUNTIFS(DB$6:DB$53,DB30,DG$6:DG$53,"&lt;"&amp;DG30,$BC$6:$BC$53,INDEX(T_Equipos[Grupo],MATCH(BD30,T_Equipos[NombreEquipo],0)))</f>
        <v>1</v>
      </c>
      <c r="DI30" s="16"/>
      <c r="DJ30" s="16">
        <f t="shared" ca="1" si="38"/>
        <v>1</v>
      </c>
      <c r="DK30" s="16">
        <f t="shared" ca="1" si="39"/>
        <v>0</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x14ac:dyDescent="0.2">
      <c r="A31" s="16" t="str">
        <f ca="1">+Equipos!B16</f>
        <v>Australia</v>
      </c>
      <c r="B31" s="16"/>
      <c r="C31" s="16"/>
      <c r="D31" s="16" t="str">
        <f t="shared" si="91"/>
        <v>Pendiente</v>
      </c>
      <c r="E31" s="16" t="str">
        <f t="shared" si="92"/>
        <v>-</v>
      </c>
      <c r="F31" s="16" t="str">
        <f t="shared" si="93"/>
        <v>-</v>
      </c>
      <c r="G31" s="16"/>
      <c r="H31" s="16" t="str">
        <f t="shared" si="94"/>
        <v>-</v>
      </c>
      <c r="I31" s="16" t="str">
        <f t="shared" si="95"/>
        <v>-</v>
      </c>
      <c r="J31" s="16"/>
      <c r="K31" s="16" t="str">
        <f t="shared" si="96"/>
        <v>-</v>
      </c>
      <c r="L31" s="16" t="str">
        <f t="shared" si="97"/>
        <v>-</v>
      </c>
      <c r="M31" s="16"/>
      <c r="N31" s="16" t="str">
        <f t="shared" si="98"/>
        <v>-</v>
      </c>
      <c r="O31" s="16" t="str">
        <f t="shared" si="99"/>
        <v>-</v>
      </c>
      <c r="P31" s="16"/>
      <c r="Q31" s="16" t="str">
        <f t="shared" si="100"/>
        <v>-</v>
      </c>
      <c r="R31" s="16" t="str">
        <f t="shared" si="101"/>
        <v>-</v>
      </c>
      <c r="S31" s="16"/>
      <c r="T31" s="16" t="str">
        <f t="shared" si="102"/>
        <v>-</v>
      </c>
      <c r="U31" s="16" t="str">
        <f t="shared" si="103"/>
        <v>-</v>
      </c>
      <c r="V31" s="17"/>
      <c r="W31" s="681"/>
      <c r="X31" s="24">
        <f ca="1">Horarios!C31</f>
        <v>46193.208333333336</v>
      </c>
      <c r="Y31" s="25">
        <f ca="1">Horarios!C31</f>
        <v>46193.208333333336</v>
      </c>
      <c r="Z31" s="26" t="str">
        <f>$Z$6</f>
        <v>J2</v>
      </c>
      <c r="AA31" s="27" t="str">
        <f ca="1">A32</f>
        <v>Turquía</v>
      </c>
      <c r="AB31" s="49" t="str" cm="1">
        <f t="array" aca="1" ref="AB31" ca="1">Ver_flag_local</f>
        <v>🇹🇷</v>
      </c>
      <c r="AC31" s="50"/>
      <c r="AD31" s="51"/>
      <c r="AE31" s="595" t="str" cm="1">
        <f t="array" aca="1" ref="AE31" ca="1">Ver_flag_visit</f>
        <v>🇵🇾</v>
      </c>
      <c r="AF31" s="32" t="str">
        <f ca="1">A30</f>
        <v>Paraguay</v>
      </c>
      <c r="AG31" s="323">
        <f t="shared" si="104"/>
        <v>0</v>
      </c>
      <c r="AH31" s="195">
        <v>31</v>
      </c>
      <c r="AI31" s="181" t="str">
        <f t="shared" ref="AI31:AI33" si="108">AJ31&amp;$B$28</f>
        <v>2D</v>
      </c>
      <c r="AJ31" s="42">
        <v>2</v>
      </c>
      <c r="AK31" s="602" t="str" cm="1">
        <f t="array" aca="1" ref="AK31" ca="1">Ver_flag_visit</f>
        <v>🇵🇾</v>
      </c>
      <c r="AL31" s="37" t="str">
        <f ca="1">IFERROR(INDEX($BD$6:$BD$53,MATCH(AI31,$BN$6:$BN$53,0)),"")</f>
        <v>Paraguay</v>
      </c>
      <c r="AM31" s="38">
        <f t="shared" ca="1" si="107"/>
        <v>0</v>
      </c>
      <c r="AN31" s="39">
        <f t="shared" ca="1" si="107"/>
        <v>0</v>
      </c>
      <c r="AO31" s="39">
        <f t="shared" ca="1" si="107"/>
        <v>0</v>
      </c>
      <c r="AP31" s="39">
        <f t="shared" ca="1" si="107"/>
        <v>0</v>
      </c>
      <c r="AQ31" s="39">
        <f t="shared" ca="1" si="107"/>
        <v>0</v>
      </c>
      <c r="AR31" s="39">
        <f t="shared" ca="1" si="107"/>
        <v>0</v>
      </c>
      <c r="AS31" s="39">
        <f t="shared" ca="1" si="107"/>
        <v>0</v>
      </c>
      <c r="AT31" s="43">
        <f t="shared" ca="1" si="107"/>
        <v>0</v>
      </c>
      <c r="AU31" s="330">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0</v>
      </c>
      <c r="BF31" s="16">
        <f t="shared" ca="1" si="41"/>
        <v>0</v>
      </c>
      <c r="BG31" s="16">
        <f t="shared" ca="1" si="17"/>
        <v>0</v>
      </c>
      <c r="BH31" s="16">
        <f t="shared" ca="1" si="18"/>
        <v>0</v>
      </c>
      <c r="BI31" s="16">
        <f t="shared" ca="1" si="19"/>
        <v>0</v>
      </c>
      <c r="BJ31" s="16">
        <f t="shared" ca="1" si="20"/>
        <v>0</v>
      </c>
      <c r="BK31" s="16">
        <f t="shared" ca="1" si="21"/>
        <v>0</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0</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(4)</v>
      </c>
      <c r="BU31" s="16">
        <f t="shared" ca="1" si="24"/>
        <v>0</v>
      </c>
      <c r="BV31" s="16">
        <f t="shared" ca="1" si="25"/>
        <v>0</v>
      </c>
      <c r="BW31" s="16">
        <f t="shared" ca="1" si="26"/>
        <v>0</v>
      </c>
      <c r="BX31" s="16">
        <f t="shared" ca="1" si="48"/>
        <v>0</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(4)</v>
      </c>
      <c r="CA31" s="16">
        <f t="shared" ca="1" si="27"/>
        <v>0</v>
      </c>
      <c r="CB31" s="16">
        <f t="shared" ca="1" si="28"/>
        <v>0</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(4)</v>
      </c>
      <c r="CF31" s="16">
        <f t="shared" ca="1" si="29"/>
        <v>0</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(4)</v>
      </c>
      <c r="CI31" s="16">
        <f t="shared" ca="1" si="30"/>
        <v>0</v>
      </c>
      <c r="CJ31" s="16">
        <f t="shared" ca="1" si="31"/>
        <v>0</v>
      </c>
      <c r="CK31" s="16">
        <f t="shared" ca="1" si="32"/>
        <v>0</v>
      </c>
      <c r="CL31" s="16">
        <f t="shared" ca="1" si="50"/>
        <v>0</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(4)</v>
      </c>
      <c r="CO31" s="16">
        <f t="shared" ca="1" si="33"/>
        <v>0</v>
      </c>
      <c r="CP31" s="16">
        <f t="shared" ca="1" si="34"/>
        <v>0</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(4)</v>
      </c>
      <c r="CT31" s="16">
        <f t="shared" ca="1" si="35"/>
        <v>0</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(4)</v>
      </c>
      <c r="CW31" s="16">
        <f t="shared" ca="1" si="36"/>
        <v>0</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P.1 (4)</v>
      </c>
      <c r="CZ31" s="16">
        <f t="shared" ca="1" si="37"/>
        <v>0</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P.1 (4)</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52"/>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38"/>
        <v>1</v>
      </c>
      <c r="DK31" s="16">
        <f t="shared" ca="1" si="39"/>
        <v>0</v>
      </c>
      <c r="DL31" s="16">
        <f t="shared" ca="1" si="40"/>
        <v>1</v>
      </c>
      <c r="DM31" s="16" t="str">
        <f t="shared" ca="1" si="46"/>
        <v>1.1</v>
      </c>
      <c r="DN31" s="16" cm="1">
        <f t="array" aca="1" ref="DN31" ca="1">OFFSET(Horarios!$P$3,DJ31-1,0,DL31,1)</f>
        <v>1</v>
      </c>
      <c r="DO31" s="16"/>
      <c r="DP31" s="16" t="s">
        <v>680</v>
      </c>
      <c r="DQ31" s="16" t="str">
        <f t="shared" ca="1" si="47"/>
        <v>Egipto</v>
      </c>
    </row>
    <row r="32" spans="1:121" ht="16" customHeight="1" x14ac:dyDescent="0.2">
      <c r="A32" s="16" t="str">
        <f ca="1">+Equipos!B17</f>
        <v>Turquía</v>
      </c>
      <c r="B32" s="16"/>
      <c r="C32" s="16"/>
      <c r="D32" s="16" t="str">
        <f t="shared" si="91"/>
        <v>Pendiente</v>
      </c>
      <c r="E32" s="16" t="str">
        <f t="shared" si="92"/>
        <v>-</v>
      </c>
      <c r="F32" s="16" t="str">
        <f t="shared" si="93"/>
        <v>-</v>
      </c>
      <c r="G32" s="16"/>
      <c r="H32" s="16" t="str">
        <f t="shared" si="94"/>
        <v>-</v>
      </c>
      <c r="I32" s="16" t="str">
        <f t="shared" si="95"/>
        <v>-</v>
      </c>
      <c r="J32" s="16"/>
      <c r="K32" s="16" t="str">
        <f t="shared" si="96"/>
        <v>-</v>
      </c>
      <c r="L32" s="16" t="str">
        <f t="shared" si="97"/>
        <v>-</v>
      </c>
      <c r="M32" s="16"/>
      <c r="N32" s="16" t="str">
        <f t="shared" si="98"/>
        <v>-</v>
      </c>
      <c r="O32" s="16" t="str">
        <f t="shared" si="99"/>
        <v>-</v>
      </c>
      <c r="P32" s="16"/>
      <c r="Q32" s="16" t="str">
        <f t="shared" si="100"/>
        <v>-</v>
      </c>
      <c r="R32" s="16" t="str">
        <f t="shared" si="101"/>
        <v>-</v>
      </c>
      <c r="S32" s="16"/>
      <c r="T32" s="16" t="str">
        <f t="shared" si="102"/>
        <v>-</v>
      </c>
      <c r="U32" s="16" t="str">
        <f t="shared" si="103"/>
        <v>-</v>
      </c>
      <c r="V32" s="17"/>
      <c r="W32" s="681"/>
      <c r="X32" s="24">
        <f ca="1">Horarios!C32</f>
        <v>46199.166666666664</v>
      </c>
      <c r="Y32" s="25">
        <f ca="1">Horarios!C32</f>
        <v>46199.166666666664</v>
      </c>
      <c r="Z32" s="26" t="str">
        <f>$Z$8</f>
        <v>J3</v>
      </c>
      <c r="AA32" s="27" t="str">
        <f ca="1">A32</f>
        <v>Turquía</v>
      </c>
      <c r="AB32" s="49" t="str" cm="1">
        <f t="array" aca="1" ref="AB32" ca="1">Ver_flag_local</f>
        <v>🇹🇷</v>
      </c>
      <c r="AC32" s="50"/>
      <c r="AD32" s="51"/>
      <c r="AE32" s="595" t="str" cm="1">
        <f t="array" aca="1" ref="AE32" ca="1">Ver_flag_visit</f>
        <v>🇺🇸</v>
      </c>
      <c r="AF32" s="32" t="str">
        <f ca="1">A29</f>
        <v>Estados Unidos</v>
      </c>
      <c r="AG32" s="323">
        <f t="shared" si="104"/>
        <v>0</v>
      </c>
      <c r="AH32" s="195">
        <v>59</v>
      </c>
      <c r="AI32" s="181" t="str">
        <f t="shared" si="108"/>
        <v>3D</v>
      </c>
      <c r="AJ32" s="42">
        <v>3</v>
      </c>
      <c r="AK32" s="602" t="str" cm="1">
        <f t="array" aca="1" ref="AK32" ca="1">Ver_flag_visit</f>
        <v>🇦🇺</v>
      </c>
      <c r="AL32" s="37" t="str">
        <f ca="1">IFERROR(INDEX($BD$6:$BD$53,MATCH(AI32,$BN$6:$BN$53,0)),"")</f>
        <v>Australia</v>
      </c>
      <c r="AM32" s="38">
        <f t="shared" ca="1" si="107"/>
        <v>0</v>
      </c>
      <c r="AN32" s="39">
        <f t="shared" ca="1" si="107"/>
        <v>0</v>
      </c>
      <c r="AO32" s="39">
        <f t="shared" ca="1" si="107"/>
        <v>0</v>
      </c>
      <c r="AP32" s="39">
        <f t="shared" ca="1" si="107"/>
        <v>0</v>
      </c>
      <c r="AQ32" s="39">
        <f t="shared" ca="1" si="107"/>
        <v>0</v>
      </c>
      <c r="AR32" s="39">
        <f t="shared" ca="1" si="107"/>
        <v>0</v>
      </c>
      <c r="AS32" s="39">
        <f t="shared" ca="1" si="107"/>
        <v>0</v>
      </c>
      <c r="AT32" s="43">
        <f t="shared" ca="1" si="107"/>
        <v>0</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0</v>
      </c>
      <c r="BF32" s="16">
        <f t="shared" ca="1" si="41"/>
        <v>0</v>
      </c>
      <c r="BG32" s="16">
        <f t="shared" ca="1" si="17"/>
        <v>0</v>
      </c>
      <c r="BH32" s="16">
        <f t="shared" ca="1" si="18"/>
        <v>0</v>
      </c>
      <c r="BI32" s="16">
        <f t="shared" ca="1" si="19"/>
        <v>0</v>
      </c>
      <c r="BJ32" s="16">
        <f t="shared" ca="1" si="20"/>
        <v>0</v>
      </c>
      <c r="BK32" s="16">
        <f t="shared" ca="1" si="21"/>
        <v>0</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0</v>
      </c>
      <c r="BS32" s="16">
        <f ca="1">BP32+COUNTIFS($BQ$6:$BQ$53,BQ32,$BR$6:BR$53,"&gt;"&amp;BR32,$BC$6:$BC$53,INDEX(T_Equipos[Grupo],MATCH(BD32,T_Equipos[NombreEquipo],0)))</f>
        <v>1</v>
      </c>
      <c r="BT32" s="16" t="str">
        <f ca="1">IF(COUNTIFS($BS$6:$BS$53,BS32,$BC$6:$BC$53,INDEX(T_Equipos[Grupo],MATCH(BD32,T_Equipos[NombreEquipo],0)))=1,"-","P."&amp;BS32&amp;" ("&amp;COUNTIFS($BS$6:$BS$53,BS32,$BC$6:$BC$53,INDEX(T_Equipos[Grupo],MATCH(BD32,T_Equipos[NombreEquipo],0)))&amp;")")</f>
        <v>P.1 (4)</v>
      </c>
      <c r="BU32" s="16">
        <f t="shared" ca="1" si="24"/>
        <v>0</v>
      </c>
      <c r="BV32" s="16">
        <f t="shared" ca="1" si="25"/>
        <v>0</v>
      </c>
      <c r="BW32" s="16">
        <f t="shared" ca="1" si="26"/>
        <v>0</v>
      </c>
      <c r="BX32" s="16">
        <f t="shared" ca="1" si="48"/>
        <v>0</v>
      </c>
      <c r="BY32" s="16">
        <f ca="1">BS32+COUNTIFS($BT$6:$BT$53,BT32,$BX$6:BX$53,"&gt;"&amp;BX32,$BC$6:$BC$53,INDEX(T_Equipos[Grupo],MATCH(BD32,T_Equipos[NombreEquipo],0)))</f>
        <v>1</v>
      </c>
      <c r="BZ32" s="16" t="str">
        <f ca="1">IF(COUNTIFS($BY$6:$BY$53,BY32,$BC$6:$BC$53,INDEX(T_Equipos[Grupo],MATCH(BD32,T_Equipos[NombreEquipo],0)))=1,"-","P."&amp;BY32&amp;" ("&amp;COUNTIFS($BY$6:$BY$53,BY32,$BC$6:$BC$53,INDEX(T_Equipos[Grupo],MATCH(BD32,T_Equipos[NombreEquipo],0)))&amp;")")</f>
        <v>P.1 (4)</v>
      </c>
      <c r="CA32" s="16">
        <f t="shared" ca="1" si="27"/>
        <v>0</v>
      </c>
      <c r="CB32" s="16">
        <f t="shared" ca="1" si="28"/>
        <v>0</v>
      </c>
      <c r="CC32" s="16">
        <f t="shared" ca="1" si="49"/>
        <v>0</v>
      </c>
      <c r="CD32" s="16">
        <f ca="1">BY32+COUNTIFS($BZ$6:$BZ$53,BZ32,$CC$6:CC$53,"&gt;"&amp;CC32,$BC$6:$BC$53,INDEX(T_Equipos[Grupo],MATCH(BD32,T_Equipos[NombreEquipo],0)))</f>
        <v>1</v>
      </c>
      <c r="CE32" s="16" t="str">
        <f ca="1">IF(COUNTIFS($CD$6:$CD$53,CD32,$BC$6:$BC$53,INDEX(T_Equipos[Grupo],MATCH(BD32,T_Equipos[NombreEquipo],0)))=1,"-","P."&amp;CD32&amp;" ("&amp;COUNTIFS($CD$6:$CD$53,CD32,$BC$6:$BC$53,INDEX(T_Equipos[Grupo],MATCH(BD32,T_Equipos[NombreEquipo],0)))&amp;")")</f>
        <v>P.1 (4)</v>
      </c>
      <c r="CF32" s="16">
        <f t="shared" ca="1" si="29"/>
        <v>0</v>
      </c>
      <c r="CG32" s="16">
        <f ca="1">CD32+COUNTIFS($CE$6:$CE$53,CE32,$CF$6:CF$53,"&gt;"&amp;CF32,$BC$6:$BC$53,INDEX(T_Equipos[Grupo],MATCH(BD32,T_Equipos[NombreEquipo],0)))</f>
        <v>1</v>
      </c>
      <c r="CH32" s="16" t="str">
        <f ca="1">IF(COUNTIFS($CG$6:$CG$53,CG32,$BC$6:$BC$53,INDEX(T_Equipos[Grupo],MATCH(BD32,T_Equipos[NombreEquipo],0)))=1,"-","P."&amp;CG32&amp;" ("&amp;COUNTIFS($CG$6:$CG$53,CG32,$BC$6:$BC$53,INDEX(T_Equipos[Grupo],MATCH(BD32,T_Equipos[NombreEquipo],0)))&amp;")")</f>
        <v>P.1 (4)</v>
      </c>
      <c r="CI32" s="16">
        <f t="shared" ca="1" si="30"/>
        <v>0</v>
      </c>
      <c r="CJ32" s="16">
        <f t="shared" ca="1" si="31"/>
        <v>0</v>
      </c>
      <c r="CK32" s="16">
        <f t="shared" ca="1" si="32"/>
        <v>0</v>
      </c>
      <c r="CL32" s="16">
        <f t="shared" ca="1" si="50"/>
        <v>0</v>
      </c>
      <c r="CM32" s="16">
        <f ca="1">CG32+COUNTIFS($CH$6:$CH$53,CH32,$CL$6:CL$53,"&gt;"&amp;CL32,$BC$6:$BC$53,INDEX(T_Equipos[Grupo],MATCH(BD32,T_Equipos[NombreEquipo],0)))</f>
        <v>1</v>
      </c>
      <c r="CN32" s="16" t="str">
        <f ca="1">IF(COUNTIFS($CM$6:$CM$53,CM32,$BC$6:$BC$53,INDEX(T_Equipos[Grupo],MATCH(BD32,T_Equipos[NombreEquipo],0)))=1,"-","P."&amp;CM32&amp;" ("&amp;COUNTIFS($CM$6:$CM$53,CM32,$BC$6:$BC$53,INDEX(T_Equipos[Grupo],MATCH(BD32,T_Equipos[NombreEquipo],0)))&amp;")")</f>
        <v>P.1 (4)</v>
      </c>
      <c r="CO32" s="16">
        <f t="shared" ca="1" si="33"/>
        <v>0</v>
      </c>
      <c r="CP32" s="16">
        <f t="shared" ca="1" si="34"/>
        <v>0</v>
      </c>
      <c r="CQ32" s="16">
        <f t="shared" ca="1" si="51"/>
        <v>0</v>
      </c>
      <c r="CR32" s="16">
        <f ca="1">CM32+COUNTIFS($CN$6:$CN$53,CN32,$CQ$6:CQ$53,"&gt;"&amp;CQ32,$BC$6:$BC$53,INDEX(T_Equipos[Grupo],MATCH(BD32,T_Equipos[NombreEquipo],0)))</f>
        <v>1</v>
      </c>
      <c r="CS32" s="16" t="str">
        <f ca="1">IF(COUNTIFS($CR$6:$CR$53,CR32,$BC$6:$BC$53,INDEX(T_Equipos[Grupo],MATCH(BD32,T_Equipos[NombreEquipo],0)))=1,"-","P."&amp;CR32&amp;" ("&amp;COUNTIFS($CR$6:$CR$53,CR32,$BC$6:$BC$53,INDEX(T_Equipos[Grupo],MATCH(BD32,T_Equipos[NombreEquipo],0)))&amp;")")</f>
        <v>P.1 (4)</v>
      </c>
      <c r="CT32" s="16">
        <f t="shared" ca="1" si="35"/>
        <v>0</v>
      </c>
      <c r="CU32" s="16">
        <f ca="1">CR32+COUNTIFS($CS$6:$CS$53,CS32,$CT$6:CT$53,"&gt;"&amp;CT32,$BC$6:$BC$53,INDEX(T_Equipos[Grupo],MATCH(BD32,T_Equipos[NombreEquipo],0)))</f>
        <v>1</v>
      </c>
      <c r="CV32" s="16" t="str">
        <f ca="1">IF(COUNTIFS($CU$6:$CU$53,CU32,$BC$6:$BC$53,INDEX(T_Equipos[Grupo],MATCH(BD32,T_Equipos[NombreEquipo],0)))=1,"-","P."&amp;CU32&amp;" ("&amp;COUNTIFS($CU$6:$CU$53,CU32,$BC$6:$BC$53,INDEX(T_Equipos[Grupo],MATCH(BD32,T_Equipos[NombreEquipo],0)))&amp;")")</f>
        <v>P.1 (4)</v>
      </c>
      <c r="CW32" s="16">
        <f t="shared" ca="1" si="36"/>
        <v>0</v>
      </c>
      <c r="CX32" s="16">
        <f ca="1">CU32+COUNTIFS($CV$6:$CV$53,CV32,$CW$6:CW$53,"&gt;"&amp;CW32,$BC$6:$BC$53,INDEX(T_Equipos[Grupo],MATCH(BD32,T_Equipos[NombreEquipo],0)))</f>
        <v>1</v>
      </c>
      <c r="CY32" s="16" t="str">
        <f ca="1">IF(COUNTIFS($CX$6:$CX$53,CX32,$BC$6:$BC$53,INDEX(T_Equipos[Grupo],MATCH(BD32,T_Equipos[NombreEquipo],0)))=1,"-","P."&amp;CX32&amp;" ("&amp;COUNTIFS($CX$6:$CX$53,CX32,$BC$6:$BC$53,INDEX(T_Equipos[Grupo],MATCH(BD32,T_Equipos[NombreEquipo],0)))&amp;")")</f>
        <v>P.1 (4)</v>
      </c>
      <c r="CZ32" s="16">
        <f t="shared" ca="1" si="37"/>
        <v>0</v>
      </c>
      <c r="DA32" s="16">
        <f ca="1">CX32+COUNTIFS($CY$6:$CY$53,CY32,$CZ$6:CZ$53,"&gt;"&amp;CZ32,$BC$6:$BC$53,INDEX(T_Equipos[Grupo],MATCH(BD32,T_Equipos[NombreEquipo],0)))</f>
        <v>1</v>
      </c>
      <c r="DB32" s="16" t="str">
        <f ca="1">IF(COUNTIFS($DA$6:$DA$53,DA32,$BC$6:$BC$53,INDEX(T_Equipos[Grupo],MATCH(BD32,T_Equipos[NombreEquipo],0)))=1,"-","P."&amp;DA32&amp;" ("&amp;COUNTIFS($DA$6:$DA$53,DA32,$BC$6:$BC$53,INDEX(T_Equipos[Grupo],MATCH(BD32,T_Equipos[NombreEquipo],0)))&amp;")")</f>
        <v>P.1 (4)</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1</v>
      </c>
      <c r="DK32" s="16">
        <f t="shared" ca="1" si="39"/>
        <v>0</v>
      </c>
      <c r="DL32" s="16">
        <f t="shared" ca="1" si="40"/>
        <v>1</v>
      </c>
      <c r="DM32" s="16" t="str">
        <f t="shared" ca="1" si="46"/>
        <v>1.1</v>
      </c>
      <c r="DN32" s="16" cm="1">
        <f t="array" aca="1" ref="DN32" ca="1">OFFSET(Horarios!$P$3,DJ32-1,0,DL32,1)</f>
        <v>1</v>
      </c>
      <c r="DO32" s="16"/>
      <c r="DP32" s="16" t="s">
        <v>445</v>
      </c>
      <c r="DQ32" s="16" t="str">
        <f t="shared" ca="1" si="47"/>
        <v>Irán</v>
      </c>
    </row>
    <row r="33" spans="1:121" ht="16" customHeight="1" thickBot="1" x14ac:dyDescent="0.25">
      <c r="A33" s="16"/>
      <c r="B33" s="16"/>
      <c r="C33" s="16"/>
      <c r="D33" s="16" t="str">
        <f t="shared" si="91"/>
        <v>Pendiente</v>
      </c>
      <c r="E33" s="16" t="str">
        <f t="shared" si="92"/>
        <v>-</v>
      </c>
      <c r="F33" s="16" t="str">
        <f t="shared" si="93"/>
        <v>-</v>
      </c>
      <c r="G33" s="16"/>
      <c r="H33" s="16" t="str">
        <f t="shared" si="94"/>
        <v>-</v>
      </c>
      <c r="I33" s="16" t="str">
        <f t="shared" si="95"/>
        <v>-</v>
      </c>
      <c r="J33" s="16"/>
      <c r="K33" s="16" t="str">
        <f t="shared" si="96"/>
        <v>-</v>
      </c>
      <c r="L33" s="16" t="str">
        <f t="shared" si="97"/>
        <v>-</v>
      </c>
      <c r="M33" s="16"/>
      <c r="N33" s="16" t="str">
        <f t="shared" si="98"/>
        <v>-</v>
      </c>
      <c r="O33" s="16" t="str">
        <f t="shared" si="99"/>
        <v>-</v>
      </c>
      <c r="P33" s="16"/>
      <c r="Q33" s="16" t="str">
        <f t="shared" si="100"/>
        <v>-</v>
      </c>
      <c r="R33" s="16" t="str">
        <f t="shared" si="101"/>
        <v>-</v>
      </c>
      <c r="S33" s="16"/>
      <c r="T33" s="16" t="str">
        <f t="shared" si="102"/>
        <v>-</v>
      </c>
      <c r="U33" s="16" t="str">
        <f t="shared" si="103"/>
        <v>-</v>
      </c>
      <c r="V33" s="17"/>
      <c r="W33" s="682"/>
      <c r="X33" s="28">
        <f ca="1">Horarios!C33</f>
        <v>46199.166666666664</v>
      </c>
      <c r="Y33" s="29">
        <f ca="1">Horarios!C33</f>
        <v>46199.166666666664</v>
      </c>
      <c r="Z33" s="30" t="str">
        <f>$Z$8</f>
        <v>J3</v>
      </c>
      <c r="AA33" s="31" t="str">
        <f ca="1">A30</f>
        <v>Paraguay</v>
      </c>
      <c r="AB33" s="52" t="str" cm="1">
        <f t="array" aca="1" ref="AB33" ca="1">Ver_flag_local</f>
        <v>🇵🇾</v>
      </c>
      <c r="AC33" s="53"/>
      <c r="AD33" s="54"/>
      <c r="AE33" s="596" t="str" cm="1">
        <f t="array" aca="1" ref="AE33" ca="1">Ver_flag_visit</f>
        <v>🇦🇺</v>
      </c>
      <c r="AF33" s="33" t="str">
        <f ca="1">A31</f>
        <v>Australia</v>
      </c>
      <c r="AG33" s="323">
        <f t="shared" si="104"/>
        <v>0</v>
      </c>
      <c r="AH33" s="195">
        <v>60</v>
      </c>
      <c r="AI33" s="181" t="str">
        <f t="shared" si="108"/>
        <v>4D</v>
      </c>
      <c r="AJ33" s="44">
        <v>4</v>
      </c>
      <c r="AK33" s="604" t="str" cm="1">
        <f t="array" aca="1" ref="AK33" ca="1">Ver_flag_visit</f>
        <v>🇹🇷</v>
      </c>
      <c r="AL33" s="45" t="str">
        <f ca="1">IFERROR(INDEX($BD$6:$BD$53,MATCH(AI33,$BN$6:$BN$53,0)),"")</f>
        <v>Turquía</v>
      </c>
      <c r="AM33" s="46">
        <f t="shared" ca="1" si="107"/>
        <v>0</v>
      </c>
      <c r="AN33" s="47">
        <f t="shared" ca="1" si="107"/>
        <v>0</v>
      </c>
      <c r="AO33" s="47">
        <f t="shared" ca="1" si="107"/>
        <v>0</v>
      </c>
      <c r="AP33" s="47">
        <f t="shared" ca="1" si="107"/>
        <v>0</v>
      </c>
      <c r="AQ33" s="47">
        <f t="shared" ca="1" si="107"/>
        <v>0</v>
      </c>
      <c r="AR33" s="47">
        <f t="shared" ca="1" si="107"/>
        <v>0</v>
      </c>
      <c r="AS33" s="47">
        <f t="shared" ca="1" si="107"/>
        <v>0</v>
      </c>
      <c r="AT33" s="48">
        <f t="shared" ca="1" si="107"/>
        <v>0</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0</v>
      </c>
      <c r="BG33" s="16">
        <f t="shared" ca="1" si="17"/>
        <v>0</v>
      </c>
      <c r="BH33" s="16">
        <f t="shared" ca="1" si="18"/>
        <v>0</v>
      </c>
      <c r="BI33" s="16">
        <f t="shared" ca="1" si="19"/>
        <v>0</v>
      </c>
      <c r="BJ33" s="16">
        <f t="shared" ca="1" si="20"/>
        <v>0</v>
      </c>
      <c r="BK33" s="16">
        <f t="shared" ca="1" si="21"/>
        <v>0</v>
      </c>
      <c r="BL33" s="16">
        <f t="shared" ca="1" si="42"/>
        <v>0</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1</v>
      </c>
      <c r="BT33" s="16" t="str">
        <f ca="1">IF(COUNTIFS($BS$6:$BS$53,BS33,$BC$6:$BC$53,INDEX(T_Equipos[Grupo],MATCH(BD33,T_Equipos[NombreEquipo],0)))=1,"-","P."&amp;BS33&amp;" ("&amp;COUNTIFS($BS$6:$BS$53,BS33,$BC$6:$BC$53,INDEX(T_Equipos[Grupo],MATCH(BD33,T_Equipos[NombreEquipo],0)))&amp;")")</f>
        <v>P.1 (4)</v>
      </c>
      <c r="BU33" s="16">
        <f t="shared" ca="1" si="24"/>
        <v>0</v>
      </c>
      <c r="BV33" s="16">
        <f t="shared" ca="1" si="25"/>
        <v>0</v>
      </c>
      <c r="BW33" s="16">
        <f t="shared" ca="1" si="26"/>
        <v>0</v>
      </c>
      <c r="BX33" s="16">
        <f t="shared" ca="1" si="48"/>
        <v>0</v>
      </c>
      <c r="BY33" s="16">
        <f ca="1">BS33+COUNTIFS($BT$6:$BT$53,BT33,$BX$6:BX$53,"&gt;"&amp;BX33,$BC$6:$BC$53,INDEX(T_Equipos[Grupo],MATCH(BD33,T_Equipos[NombreEquipo],0)))</f>
        <v>1</v>
      </c>
      <c r="BZ33" s="16" t="str">
        <f ca="1">IF(COUNTIFS($BY$6:$BY$53,BY33,$BC$6:$BC$53,INDEX(T_Equipos[Grupo],MATCH(BD33,T_Equipos[NombreEquipo],0)))=1,"-","P."&amp;BY33&amp;" ("&amp;COUNTIFS($BY$6:$BY$53,BY33,$BC$6:$BC$53,INDEX(T_Equipos[Grupo],MATCH(BD33,T_Equipos[NombreEquipo],0)))&amp;")")</f>
        <v>P.1 (4)</v>
      </c>
      <c r="CA33" s="16">
        <f t="shared" ca="1" si="27"/>
        <v>0</v>
      </c>
      <c r="CB33" s="16">
        <f t="shared" ca="1" si="28"/>
        <v>0</v>
      </c>
      <c r="CC33" s="16">
        <f t="shared" ca="1" si="49"/>
        <v>0</v>
      </c>
      <c r="CD33" s="16">
        <f ca="1">BY33+COUNTIFS($BZ$6:$BZ$53,BZ33,$CC$6:CC$53,"&gt;"&amp;CC33,$BC$6:$BC$53,INDEX(T_Equipos[Grupo],MATCH(BD33,T_Equipos[NombreEquipo],0)))</f>
        <v>1</v>
      </c>
      <c r="CE33" s="16" t="str">
        <f ca="1">IF(COUNTIFS($CD$6:$CD$53,CD33,$BC$6:$BC$53,INDEX(T_Equipos[Grupo],MATCH(BD33,T_Equipos[NombreEquipo],0)))=1,"-","P."&amp;CD33&amp;" ("&amp;COUNTIFS($CD$6:$CD$53,CD33,$BC$6:$BC$53,INDEX(T_Equipos[Grupo],MATCH(BD33,T_Equipos[NombreEquipo],0)))&amp;")")</f>
        <v>P.1 (4)</v>
      </c>
      <c r="CF33" s="16">
        <f t="shared" ca="1" si="29"/>
        <v>0</v>
      </c>
      <c r="CG33" s="16">
        <f ca="1">CD33+COUNTIFS($CE$6:$CE$53,CE33,$CF$6:CF$53,"&gt;"&amp;CF33,$BC$6:$BC$53,INDEX(T_Equipos[Grupo],MATCH(BD33,T_Equipos[NombreEquipo],0)))</f>
        <v>1</v>
      </c>
      <c r="CH33" s="16" t="str">
        <f ca="1">IF(COUNTIFS($CG$6:$CG$53,CG33,$BC$6:$BC$53,INDEX(T_Equipos[Grupo],MATCH(BD33,T_Equipos[NombreEquipo],0)))=1,"-","P."&amp;CG33&amp;" ("&amp;COUNTIFS($CG$6:$CG$53,CG33,$BC$6:$BC$53,INDEX(T_Equipos[Grupo],MATCH(BD33,T_Equipos[NombreEquipo],0)))&amp;")")</f>
        <v>P.1 (4)</v>
      </c>
      <c r="CI33" s="16">
        <f t="shared" ca="1" si="30"/>
        <v>0</v>
      </c>
      <c r="CJ33" s="16">
        <f t="shared" ca="1" si="31"/>
        <v>0</v>
      </c>
      <c r="CK33" s="16">
        <f t="shared" ca="1" si="32"/>
        <v>0</v>
      </c>
      <c r="CL33" s="16">
        <f t="shared" ca="1" si="50"/>
        <v>0</v>
      </c>
      <c r="CM33" s="16">
        <f ca="1">CG33+COUNTIFS($CH$6:$CH$53,CH33,$CL$6:CL$53,"&gt;"&amp;CL33,$BC$6:$BC$53,INDEX(T_Equipos[Grupo],MATCH(BD33,T_Equipos[NombreEquipo],0)))</f>
        <v>1</v>
      </c>
      <c r="CN33" s="16" t="str">
        <f ca="1">IF(COUNTIFS($CM$6:$CM$53,CM33,$BC$6:$BC$53,INDEX(T_Equipos[Grupo],MATCH(BD33,T_Equipos[NombreEquipo],0)))=1,"-","P."&amp;CM33&amp;" ("&amp;COUNTIFS($CM$6:$CM$53,CM33,$BC$6:$BC$53,INDEX(T_Equipos[Grupo],MATCH(BD33,T_Equipos[NombreEquipo],0)))&amp;")")</f>
        <v>P.1 (4)</v>
      </c>
      <c r="CO33" s="16">
        <f t="shared" ca="1" si="33"/>
        <v>0</v>
      </c>
      <c r="CP33" s="16">
        <f t="shared" ca="1" si="34"/>
        <v>0</v>
      </c>
      <c r="CQ33" s="16">
        <f t="shared" ca="1" si="51"/>
        <v>0</v>
      </c>
      <c r="CR33" s="16">
        <f ca="1">CM33+COUNTIFS($CN$6:$CN$53,CN33,$CQ$6:CQ$53,"&gt;"&amp;CQ33,$BC$6:$BC$53,INDEX(T_Equipos[Grupo],MATCH(BD33,T_Equipos[NombreEquipo],0)))</f>
        <v>1</v>
      </c>
      <c r="CS33" s="16" t="str">
        <f ca="1">IF(COUNTIFS($CR$6:$CR$53,CR33,$BC$6:$BC$53,INDEX(T_Equipos[Grupo],MATCH(BD33,T_Equipos[NombreEquipo],0)))=1,"-","P."&amp;CR33&amp;" ("&amp;COUNTIFS($CR$6:$CR$53,CR33,$BC$6:$BC$53,INDEX(T_Equipos[Grupo],MATCH(BD33,T_Equipos[NombreEquipo],0)))&amp;")")</f>
        <v>P.1 (4)</v>
      </c>
      <c r="CT33" s="16">
        <f t="shared" ca="1" si="35"/>
        <v>0</v>
      </c>
      <c r="CU33" s="16">
        <f ca="1">CR33+COUNTIFS($CS$6:$CS$53,CS33,$CT$6:CT$53,"&gt;"&amp;CT33,$BC$6:$BC$53,INDEX(T_Equipos[Grupo],MATCH(BD33,T_Equipos[NombreEquipo],0)))</f>
        <v>1</v>
      </c>
      <c r="CV33" s="16" t="str">
        <f ca="1">IF(COUNTIFS($CU$6:$CU$53,CU33,$BC$6:$BC$53,INDEX(T_Equipos[Grupo],MATCH(BD33,T_Equipos[NombreEquipo],0)))=1,"-","P."&amp;CU33&amp;" ("&amp;COUNTIFS($CU$6:$CU$53,CU33,$BC$6:$BC$53,INDEX(T_Equipos[Grupo],MATCH(BD33,T_Equipos[NombreEquipo],0)))&amp;")")</f>
        <v>P.1 (4)</v>
      </c>
      <c r="CW33" s="16">
        <f t="shared" ca="1" si="36"/>
        <v>0</v>
      </c>
      <c r="CX33" s="16">
        <f ca="1">CU33+COUNTIFS($CV$6:$CV$53,CV33,$CW$6:CW$53,"&gt;"&amp;CW33,$BC$6:$BC$53,INDEX(T_Equipos[Grupo],MATCH(BD33,T_Equipos[NombreEquipo],0)))</f>
        <v>1</v>
      </c>
      <c r="CY33" s="16" t="str">
        <f ca="1">IF(COUNTIFS($CX$6:$CX$53,CX33,$BC$6:$BC$53,INDEX(T_Equipos[Grupo],MATCH(BD33,T_Equipos[NombreEquipo],0)))=1,"-","P."&amp;CX33&amp;" ("&amp;COUNTIFS($CX$6:$CX$53,CX33,$BC$6:$BC$53,INDEX(T_Equipos[Grupo],MATCH(BD33,T_Equipos[NombreEquipo],0)))&amp;")")</f>
        <v>P.1 (4)</v>
      </c>
      <c r="CZ33" s="16">
        <f t="shared" ca="1" si="37"/>
        <v>0</v>
      </c>
      <c r="DA33" s="16">
        <f ca="1">CX33+COUNTIFS($CY$6:$CY$53,CY33,$CZ$6:CZ$53,"&gt;"&amp;CZ33,$BC$6:$BC$53,INDEX(T_Equipos[Grupo],MATCH(BD33,T_Equipos[NombreEquipo],0)))</f>
        <v>1</v>
      </c>
      <c r="DB33" s="16" t="str">
        <f ca="1">IF(COUNTIFS($DA$6:$DA$53,DA33,$BC$6:$BC$53,INDEX(T_Equipos[Grupo],MATCH(BD33,T_Equipos[NombreEquipo],0)))=1,"-","P."&amp;DA33&amp;" ("&amp;COUNTIFS($DA$6:$DA$53,DA33,$BC$6:$BC$53,INDEX(T_Equipos[Grupo],MATCH(BD33,T_Equipos[NombreEquipo],0)))&amp;")")</f>
        <v>P.1 (4)</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52"/>
        <v>4</v>
      </c>
      <c r="DG33" s="16">
        <f ca="1">IF(DB33="-","-",COUNTIFS(DF$6:DF$53,"&lt;"&amp;DF33,$BC$6:$BC$53,INDEX(T_Equipos[Grupo],MATCH(BD33,T_Equipos[NombreEquipo],0))))</f>
        <v>3</v>
      </c>
      <c r="DH33" s="16">
        <f ca="1">DA33+COUNTIFS(DB$6:DB$53,DB33,DG$6:DG$53,"&lt;"&amp;DG33,$BC$6:$BC$53,INDEX(T_Equipos[Grupo],MATCH(BD33,T_Equipos[NombreEquipo],0)))</f>
        <v>4</v>
      </c>
      <c r="DI33" s="16"/>
      <c r="DJ33" s="16">
        <f t="shared" ca="1" si="38"/>
        <v>1</v>
      </c>
      <c r="DK33" s="16">
        <f t="shared" ca="1" si="39"/>
        <v>0</v>
      </c>
      <c r="DL33" s="16">
        <f t="shared" ca="1" si="40"/>
        <v>1</v>
      </c>
      <c r="DM33" s="16" t="str">
        <f t="shared" ca="1" si="46"/>
        <v>1.1</v>
      </c>
      <c r="DN33" s="16" cm="1">
        <f t="array" aca="1" ref="DN33" ca="1">OFFSET(Horarios!$P$3,DJ33-1,0,DL33,1)</f>
        <v>1</v>
      </c>
      <c r="DO33" s="16"/>
      <c r="DP33" s="16" t="s">
        <v>681</v>
      </c>
      <c r="DQ33" s="16" t="str">
        <f t="shared" ca="1" si="47"/>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0</v>
      </c>
      <c r="BF34" s="16">
        <f t="shared" ca="1" si="41"/>
        <v>0</v>
      </c>
      <c r="BG34" s="16">
        <f t="shared" ca="1" si="17"/>
        <v>0</v>
      </c>
      <c r="BH34" s="16">
        <f t="shared" ca="1" si="18"/>
        <v>0</v>
      </c>
      <c r="BI34" s="16">
        <f t="shared" ca="1" si="19"/>
        <v>0</v>
      </c>
      <c r="BJ34" s="16">
        <f t="shared" ca="1" si="20"/>
        <v>0</v>
      </c>
      <c r="BK34" s="16">
        <f t="shared" ca="1" si="21"/>
        <v>0</v>
      </c>
      <c r="BL34" s="16">
        <f t="shared" ca="1" si="42"/>
        <v>0</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0</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(4)</v>
      </c>
      <c r="BU34" s="16">
        <f t="shared" ca="1" si="24"/>
        <v>0</v>
      </c>
      <c r="BV34" s="16">
        <f t="shared" ca="1" si="25"/>
        <v>0</v>
      </c>
      <c r="BW34" s="16">
        <f t="shared" ca="1" si="26"/>
        <v>0</v>
      </c>
      <c r="BX34" s="16">
        <f t="shared" ca="1" si="48"/>
        <v>0</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(4)</v>
      </c>
      <c r="CA34" s="16">
        <f t="shared" ca="1" si="27"/>
        <v>0</v>
      </c>
      <c r="CB34" s="16">
        <f t="shared" ca="1" si="28"/>
        <v>0</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(4)</v>
      </c>
      <c r="CF34" s="16">
        <f t="shared" ca="1" si="29"/>
        <v>0</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(4)</v>
      </c>
      <c r="CI34" s="16">
        <f t="shared" ca="1" si="30"/>
        <v>0</v>
      </c>
      <c r="CJ34" s="16">
        <f t="shared" ca="1" si="31"/>
        <v>0</v>
      </c>
      <c r="CK34" s="16">
        <f t="shared" ca="1" si="32"/>
        <v>0</v>
      </c>
      <c r="CL34" s="16">
        <f t="shared" ca="1" si="50"/>
        <v>0</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(4)</v>
      </c>
      <c r="CO34" s="16">
        <f t="shared" ca="1" si="33"/>
        <v>0</v>
      </c>
      <c r="CP34" s="16">
        <f t="shared" ca="1" si="34"/>
        <v>0</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(4)</v>
      </c>
      <c r="CT34" s="16">
        <f t="shared" ca="1" si="35"/>
        <v>0</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(4)</v>
      </c>
      <c r="CW34" s="16">
        <f t="shared" ca="1" si="36"/>
        <v>0</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(4)</v>
      </c>
      <c r="CZ34" s="16">
        <f t="shared" ca="1" si="37"/>
        <v>0</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P.1 (4)</v>
      </c>
      <c r="DC34" s="16">
        <f ca="1">IF(DB34="-","-",COUNTIFS(T_Equipos[Rank],"&lt;"&amp;INDEX(T_Equipos[Rank],MATCH(BD34,T_Equipos[NombreEquipo],0)),$BC$6:$BC$53,INDEX(T_Equipos[Grupo],MATCH(BD34,T_Equipos[NombreEquipo],0)))+1)</f>
        <v>1</v>
      </c>
      <c r="DD34" s="16">
        <f ca="1">DA34+COUNTIFS($DB$6:$DB$53,DB34,$DC$6:DC$53,"&lt;"&amp;DC34,$BC$6:$BC$53,INDEX(T_Equipos[Grupo],MATCH(BD34,T_Equipos[NombreEquipo],0)))</f>
        <v>1</v>
      </c>
      <c r="DE34" s="16"/>
      <c r="DF34" s="16">
        <f t="shared" ca="1" si="52"/>
        <v>1</v>
      </c>
      <c r="DG34" s="16">
        <f ca="1">IF(DB34="-","-",COUNTIFS(DF$6:DF$53,"&lt;"&amp;DF34,$BC$6:$BC$53,INDEX(T_Equipos[Grupo],MATCH(BD34,T_Equipos[NombreEquipo],0))))</f>
        <v>0</v>
      </c>
      <c r="DH34" s="16">
        <f ca="1">DA34+COUNTIFS(DB$6:DB$53,DB34,DG$6:DG$53,"&lt;"&amp;DG34,$BC$6:$BC$53,INDEX(T_Equipos[Grupo],MATCH(BD34,T_Equipos[NombreEquipo],0)))</f>
        <v>1</v>
      </c>
      <c r="DI34" s="16"/>
      <c r="DJ34" s="16">
        <f t="shared" ca="1" si="38"/>
        <v>1</v>
      </c>
      <c r="DK34" s="16">
        <f t="shared" ca="1" si="39"/>
        <v>0</v>
      </c>
      <c r="DL34" s="16">
        <f t="shared" ca="1" si="40"/>
        <v>1</v>
      </c>
      <c r="DM34" s="16" t="str">
        <f t="shared" ca="1" si="46"/>
        <v>1.1</v>
      </c>
      <c r="DN34" s="16" cm="1">
        <f t="array" aca="1" ref="DN34" ca="1">OFFSET(Horarios!$P$3,DJ34-1,0,DL34,1)</f>
        <v>1</v>
      </c>
      <c r="DO34" s="16"/>
      <c r="DP34" s="16" t="s">
        <v>682</v>
      </c>
      <c r="DQ34" s="16" t="str">
        <f t="shared" ca="1" si="47"/>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0</v>
      </c>
      <c r="BG35" s="16">
        <f t="shared" ca="1" si="17"/>
        <v>0</v>
      </c>
      <c r="BH35" s="16">
        <f t="shared" ca="1" si="18"/>
        <v>0</v>
      </c>
      <c r="BI35" s="16">
        <f t="shared" ca="1" si="19"/>
        <v>0</v>
      </c>
      <c r="BJ35" s="16">
        <f t="shared" ca="1" si="20"/>
        <v>0</v>
      </c>
      <c r="BK35" s="16">
        <f t="shared" ca="1" si="21"/>
        <v>0</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1</v>
      </c>
      <c r="BT35" s="16" t="str">
        <f ca="1">IF(COUNTIFS($BS$6:$BS$53,BS35,$BC$6:$BC$53,INDEX(T_Equipos[Grupo],MATCH(BD35,T_Equipos[NombreEquipo],0)))=1,"-","P."&amp;BS35&amp;" ("&amp;COUNTIFS($BS$6:$BS$53,BS35,$BC$6:$BC$53,INDEX(T_Equipos[Grupo],MATCH(BD35,T_Equipos[NombreEquipo],0)))&amp;")")</f>
        <v>P.1 (4)</v>
      </c>
      <c r="BU35" s="16">
        <f t="shared" ca="1" si="24"/>
        <v>0</v>
      </c>
      <c r="BV35" s="16">
        <f t="shared" ca="1" si="25"/>
        <v>0</v>
      </c>
      <c r="BW35" s="16">
        <f t="shared" ca="1" si="26"/>
        <v>0</v>
      </c>
      <c r="BX35" s="16">
        <f t="shared" ca="1" si="48"/>
        <v>0</v>
      </c>
      <c r="BY35" s="16">
        <f ca="1">BS35+COUNTIFS($BT$6:$BT$53,BT35,$BX$6:BX$53,"&gt;"&amp;BX35,$BC$6:$BC$53,INDEX(T_Equipos[Grupo],MATCH(BD35,T_Equipos[NombreEquipo],0)))</f>
        <v>1</v>
      </c>
      <c r="BZ35" s="16" t="str">
        <f ca="1">IF(COUNTIFS($BY$6:$BY$53,BY35,$BC$6:$BC$53,INDEX(T_Equipos[Grupo],MATCH(BD35,T_Equipos[NombreEquipo],0)))=1,"-","P."&amp;BY35&amp;" ("&amp;COUNTIFS($BY$6:$BY$53,BY35,$BC$6:$BC$53,INDEX(T_Equipos[Grupo],MATCH(BD35,T_Equipos[NombreEquipo],0)))&amp;")")</f>
        <v>P.1 (4)</v>
      </c>
      <c r="CA35" s="16">
        <f t="shared" ca="1" si="27"/>
        <v>0</v>
      </c>
      <c r="CB35" s="16">
        <f t="shared" ca="1" si="28"/>
        <v>0</v>
      </c>
      <c r="CC35" s="16">
        <f t="shared" ca="1" si="49"/>
        <v>0</v>
      </c>
      <c r="CD35" s="16">
        <f ca="1">BY35+COUNTIFS($BZ$6:$BZ$53,BZ35,$CC$6:CC$53,"&gt;"&amp;CC35,$BC$6:$BC$53,INDEX(T_Equipos[Grupo],MATCH(BD35,T_Equipos[NombreEquipo],0)))</f>
        <v>1</v>
      </c>
      <c r="CE35" s="16" t="str">
        <f ca="1">IF(COUNTIFS($CD$6:$CD$53,CD35,$BC$6:$BC$53,INDEX(T_Equipos[Grupo],MATCH(BD35,T_Equipos[NombreEquipo],0)))=1,"-","P."&amp;CD35&amp;" ("&amp;COUNTIFS($CD$6:$CD$53,CD35,$BC$6:$BC$53,INDEX(T_Equipos[Grupo],MATCH(BD35,T_Equipos[NombreEquipo],0)))&amp;")")</f>
        <v>P.1 (4)</v>
      </c>
      <c r="CF35" s="16">
        <f t="shared" ca="1" si="29"/>
        <v>0</v>
      </c>
      <c r="CG35" s="16">
        <f ca="1">CD35+COUNTIFS($CE$6:$CE$53,CE35,$CF$6:CF$53,"&gt;"&amp;CF35,$BC$6:$BC$53,INDEX(T_Equipos[Grupo],MATCH(BD35,T_Equipos[NombreEquipo],0)))</f>
        <v>1</v>
      </c>
      <c r="CH35" s="16" t="str">
        <f ca="1">IF(COUNTIFS($CG$6:$CG$53,CG35,$BC$6:$BC$53,INDEX(T_Equipos[Grupo],MATCH(BD35,T_Equipos[NombreEquipo],0)))=1,"-","P."&amp;CG35&amp;" ("&amp;COUNTIFS($CG$6:$CG$53,CG35,$BC$6:$BC$53,INDEX(T_Equipos[Grupo],MATCH(BD35,T_Equipos[NombreEquipo],0)))&amp;")")</f>
        <v>P.1 (4)</v>
      </c>
      <c r="CI35" s="16">
        <f t="shared" ca="1" si="30"/>
        <v>0</v>
      </c>
      <c r="CJ35" s="16">
        <f t="shared" ca="1" si="31"/>
        <v>0</v>
      </c>
      <c r="CK35" s="16">
        <f t="shared" ca="1" si="32"/>
        <v>0</v>
      </c>
      <c r="CL35" s="16">
        <f t="shared" ca="1" si="50"/>
        <v>0</v>
      </c>
      <c r="CM35" s="16">
        <f ca="1">CG35+COUNTIFS($CH$6:$CH$53,CH35,$CL$6:CL$53,"&gt;"&amp;CL35,$BC$6:$BC$53,INDEX(T_Equipos[Grupo],MATCH(BD35,T_Equipos[NombreEquipo],0)))</f>
        <v>1</v>
      </c>
      <c r="CN35" s="16" t="str">
        <f ca="1">IF(COUNTIFS($CM$6:$CM$53,CM35,$BC$6:$BC$53,INDEX(T_Equipos[Grupo],MATCH(BD35,T_Equipos[NombreEquipo],0)))=1,"-","P."&amp;CM35&amp;" ("&amp;COUNTIFS($CM$6:$CM$53,CM35,$BC$6:$BC$53,INDEX(T_Equipos[Grupo],MATCH(BD35,T_Equipos[NombreEquipo],0)))&amp;")")</f>
        <v>P.1 (4)</v>
      </c>
      <c r="CO35" s="16">
        <f t="shared" ca="1" si="33"/>
        <v>0</v>
      </c>
      <c r="CP35" s="16">
        <f t="shared" ca="1" si="34"/>
        <v>0</v>
      </c>
      <c r="CQ35" s="16">
        <f t="shared" ca="1" si="51"/>
        <v>0</v>
      </c>
      <c r="CR35" s="16">
        <f ca="1">CM35+COUNTIFS($CN$6:$CN$53,CN35,$CQ$6:CQ$53,"&gt;"&amp;CQ35,$BC$6:$BC$53,INDEX(T_Equipos[Grupo],MATCH(BD35,T_Equipos[NombreEquipo],0)))</f>
        <v>1</v>
      </c>
      <c r="CS35" s="16" t="str">
        <f ca="1">IF(COUNTIFS($CR$6:$CR$53,CR35,$BC$6:$BC$53,INDEX(T_Equipos[Grupo],MATCH(BD35,T_Equipos[NombreEquipo],0)))=1,"-","P."&amp;CR35&amp;" ("&amp;COUNTIFS($CR$6:$CR$53,CR35,$BC$6:$BC$53,INDEX(T_Equipos[Grupo],MATCH(BD35,T_Equipos[NombreEquipo],0)))&amp;")")</f>
        <v>P.1 (4)</v>
      </c>
      <c r="CT35" s="16">
        <f t="shared" ca="1" si="35"/>
        <v>0</v>
      </c>
      <c r="CU35" s="16">
        <f ca="1">CR35+COUNTIFS($CS$6:$CS$53,CS35,$CT$6:CT$53,"&gt;"&amp;CT35,$BC$6:$BC$53,INDEX(T_Equipos[Grupo],MATCH(BD35,T_Equipos[NombreEquipo],0)))</f>
        <v>1</v>
      </c>
      <c r="CV35" s="16" t="str">
        <f ca="1">IF(COUNTIFS($CU$6:$CU$53,CU35,$BC$6:$BC$53,INDEX(T_Equipos[Grupo],MATCH(BD35,T_Equipos[NombreEquipo],0)))=1,"-","P."&amp;CU35&amp;" ("&amp;COUNTIFS($CU$6:$CU$53,CU35,$BC$6:$BC$53,INDEX(T_Equipos[Grupo],MATCH(BD35,T_Equipos[NombreEquipo],0)))&amp;")")</f>
        <v>P.1 (4)</v>
      </c>
      <c r="CW35" s="16">
        <f t="shared" ca="1" si="36"/>
        <v>0</v>
      </c>
      <c r="CX35" s="16">
        <f ca="1">CU35+COUNTIFS($CV$6:$CV$53,CV35,$CW$6:CW$53,"&gt;"&amp;CW35,$BC$6:$BC$53,INDEX(T_Equipos[Grupo],MATCH(BD35,T_Equipos[NombreEquipo],0)))</f>
        <v>1</v>
      </c>
      <c r="CY35" s="16" t="str">
        <f ca="1">IF(COUNTIFS($CX$6:$CX$53,CX35,$BC$6:$BC$53,INDEX(T_Equipos[Grupo],MATCH(BD35,T_Equipos[NombreEquipo],0)))=1,"-","P."&amp;CX35&amp;" ("&amp;COUNTIFS($CX$6:$CX$53,CX35,$BC$6:$BC$53,INDEX(T_Equipos[Grupo],MATCH(BD35,T_Equipos[NombreEquipo],0)))&amp;")")</f>
        <v>P.1 (4)</v>
      </c>
      <c r="CZ35" s="16">
        <f t="shared" ca="1" si="37"/>
        <v>0</v>
      </c>
      <c r="DA35" s="16">
        <f ca="1">CX35+COUNTIFS($CY$6:$CY$53,CY35,$CZ$6:CZ$53,"&gt;"&amp;CZ35,$BC$6:$BC$53,INDEX(T_Equipos[Grupo],MATCH(BD35,T_Equipos[NombreEquipo],0)))</f>
        <v>1</v>
      </c>
      <c r="DB35" s="16" t="str">
        <f ca="1">IF(COUNTIFS($DA$6:$DA$53,DA35,$BC$6:$BC$53,INDEX(T_Equipos[Grupo],MATCH(BD35,T_Equipos[NombreEquipo],0)))=1,"-","P."&amp;DA35&amp;" ("&amp;COUNTIFS($DA$6:$DA$53,DA35,$BC$6:$BC$53,INDEX(T_Equipos[Grupo],MATCH(BD35,T_Equipos[NombreEquipo],0)))&amp;")")</f>
        <v>P.1 (4)</v>
      </c>
      <c r="DC35" s="16">
        <f ca="1">IF(DB35="-","-",COUNTIFS(T_Equipos[Rank],"&lt;"&amp;INDEX(T_Equipos[Rank],MATCH(BD35,T_Equipos[NombreEquipo],0)),$BC$6:$BC$53,INDEX(T_Equipos[Grupo],MATCH(BD35,T_Equipos[NombreEquipo],0)))+1)</f>
        <v>2</v>
      </c>
      <c r="DD35" s="16">
        <f ca="1">DA35+COUNTIFS($DB$6:$DB$53,DB35,$DC$6:DC$53,"&lt;"&amp;DC35,$BC$6:$BC$53,INDEX(T_Equipos[Grupo],MATCH(BD35,T_Equipos[NombreEquipo],0)))</f>
        <v>2</v>
      </c>
      <c r="DE35" s="16"/>
      <c r="DF35" s="16">
        <f t="shared" ca="1" si="52"/>
        <v>2</v>
      </c>
      <c r="DG35" s="16">
        <f ca="1">IF(DB35="-","-",COUNTIFS(DF$6:DF$53,"&lt;"&amp;DF35,$BC$6:$BC$53,INDEX(T_Equipos[Grupo],MATCH(BD35,T_Equipos[NombreEquipo],0))))</f>
        <v>1</v>
      </c>
      <c r="DH35" s="16">
        <f ca="1">DA35+COUNTIFS(DB$6:DB$53,DB35,DG$6:DG$53,"&lt;"&amp;DG35,$BC$6:$BC$53,INDEX(T_Equipos[Grupo],MATCH(BD35,T_Equipos[NombreEquipo],0)))</f>
        <v>2</v>
      </c>
      <c r="DI35" s="16"/>
      <c r="DJ35" s="16">
        <f t="shared" ca="1" si="38"/>
        <v>1</v>
      </c>
      <c r="DK35" s="16">
        <f t="shared" ca="1" si="39"/>
        <v>0</v>
      </c>
      <c r="DL35" s="16">
        <f t="shared" ca="1" si="40"/>
        <v>1</v>
      </c>
      <c r="DM35" s="16" t="str">
        <f t="shared" ca="1" si="46"/>
        <v>1.1</v>
      </c>
      <c r="DN35" s="16" cm="1">
        <f t="array" aca="1" ref="DN35" ca="1">OFFSET(Horarios!$P$3,DJ35-1,0,DL35,1)</f>
        <v>1</v>
      </c>
      <c r="DO35" s="16"/>
      <c r="DP35" s="16" t="s">
        <v>683</v>
      </c>
      <c r="DQ35" s="16" t="str">
        <f t="shared" ca="1" si="47"/>
        <v>Cabo Verde</v>
      </c>
    </row>
    <row r="36" spans="1:121" ht="16" customHeight="1" thickBot="1" x14ac:dyDescent="0.25">
      <c r="A36" s="16" t="s">
        <v>32</v>
      </c>
      <c r="B36" s="16" t="s">
        <v>3</v>
      </c>
      <c r="C36" s="16">
        <f>COUNTIF(Equipos!$C$2:$C$49,WORLDCUP!B36)</f>
        <v>4</v>
      </c>
      <c r="D36" s="16" t="str">
        <f t="shared" ref="D36:D41" si="111">IF(OR(AC36="",AD36=""),"Pendiente",IF(AC36&gt;AD36,"Local",IF(AC36&lt;AD36,"Visitante","Empate")))</f>
        <v>Pendiente</v>
      </c>
      <c r="E36" s="16" t="str">
        <f t="shared" ref="E36:E41" si="112">IF(D36="Pendiente","-",INDEX($BT$6:$BT$53,MATCH($AA36,$BD$6:$BD$53,0)))</f>
        <v>-</v>
      </c>
      <c r="F36" s="16" t="str">
        <f t="shared" ref="F36:F41" si="113">IF(D36="Pendiente","-",INDEX($BT$6:$BT$53,MATCH($AF36,$BD$6:$BD$53,0)))</f>
        <v>-</v>
      </c>
      <c r="G36" s="16"/>
      <c r="H36" s="16" t="str">
        <f t="shared" ref="H36:H41" si="114">IF(D36="Pendiente","-",INDEX($BZ$6:$BZ$53,MATCH($AA36,$BD$6:$BD$53,0)))</f>
        <v>-</v>
      </c>
      <c r="I36" s="16" t="str">
        <f t="shared" ref="I36:I41" si="115">IF(D36="Pendiente","-",INDEX($BZ$6:$BZ$53,MATCH($AF36,$BD$6:$BD$53,0)))</f>
        <v>-</v>
      </c>
      <c r="J36" s="16"/>
      <c r="K36" s="16" t="str">
        <f t="shared" ref="K36:K41" si="116">IF(D36="Pendiente","-",INDEX($CE$6:$CE$53,MATCH($AA36,$BD$6:$BD$53,0)))</f>
        <v>-</v>
      </c>
      <c r="L36" s="16" t="str">
        <f t="shared" ref="L36:L41" si="117">IF(D36="Pendiente","-",INDEX($CE$6:$CE$53,MATCH($AF36,$BD$6:$BD$53,0)))</f>
        <v>-</v>
      </c>
      <c r="M36" s="16"/>
      <c r="N36" s="16" t="str">
        <f t="shared" ref="N36:N41" si="118">IF(D36="Pendiente","-",INDEX($CH$6:$CH$53,MATCH($AA36,$BD$6:$BD$53,0)))</f>
        <v>-</v>
      </c>
      <c r="O36" s="16" t="str">
        <f t="shared" ref="O36:O41" si="119">IF(D36="Pendiente","-",INDEX($CH$6:$CH$53,MATCH($AF36,$BD$6:$BD$53,0)))</f>
        <v>-</v>
      </c>
      <c r="P36" s="16"/>
      <c r="Q36" s="16" t="str">
        <f t="shared" ref="Q36:Q41" si="120">IF(D36="Pendiente","-",INDEX($CN$6:$CN$53,MATCH($AA36,$BD$6:$BD$53,0)))</f>
        <v>-</v>
      </c>
      <c r="R36" s="16" t="str">
        <f t="shared" ref="R36:R41" si="121">IF(D36="Pendiente","-",INDEX($CN$6:$CN$53,MATCH($AF36,$BD$6:$BD$53,0)))</f>
        <v>-</v>
      </c>
      <c r="S36" s="16"/>
      <c r="T36" s="16" t="str">
        <f t="shared" ref="T36:T41" si="122">IF(D36="Pendiente","-",INDEX($CS$6:$CS$53,MATCH($AA36,$BD$6:$BD$53,0)))</f>
        <v>-</v>
      </c>
      <c r="U36" s="16" t="str">
        <f t="shared" ref="U36:U4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v>
      </c>
      <c r="AC36" s="50"/>
      <c r="AD36" s="51"/>
      <c r="AE36" s="595" t="str" cm="1">
        <f t="array" aca="1" ref="AE36" ca="1">Ver_flag_visit</f>
        <v>🇨🇼</v>
      </c>
      <c r="AF36" s="32" t="str">
        <f ca="1">A38</f>
        <v>Curazao</v>
      </c>
      <c r="AG36" s="323">
        <f t="shared" ref="AG36:AG41" si="124">IF(NOT(OR(ISBLANK(AC36),ISBLANK(AD36))),1,0)</f>
        <v>0</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41"/>
        <v>0</v>
      </c>
      <c r="BG36" s="16">
        <f t="shared" ca="1" si="17"/>
        <v>0</v>
      </c>
      <c r="BH36" s="16">
        <f t="shared" ca="1" si="18"/>
        <v>0</v>
      </c>
      <c r="BI36" s="16">
        <f t="shared" ca="1" si="19"/>
        <v>0</v>
      </c>
      <c r="BJ36" s="16">
        <f t="shared" ca="1" si="20"/>
        <v>0</v>
      </c>
      <c r="BK36" s="16">
        <f t="shared" ca="1" si="21"/>
        <v>0</v>
      </c>
      <c r="BL36" s="16">
        <f t="shared" ca="1" si="42"/>
        <v>0</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1</v>
      </c>
      <c r="BT36" s="16" t="str">
        <f ca="1">IF(COUNTIFS($BS$6:$BS$53,BS36,$BC$6:$BC$53,INDEX(T_Equipos[Grupo],MATCH(BD36,T_Equipos[NombreEquipo],0)))=1,"-","P."&amp;BS36&amp;" ("&amp;COUNTIFS($BS$6:$BS$53,BS36,$BC$6:$BC$53,INDEX(T_Equipos[Grupo],MATCH(BD36,T_Equipos[NombreEquipo],0)))&amp;")")</f>
        <v>P.1 (4)</v>
      </c>
      <c r="BU36" s="16">
        <f t="shared" ca="1" si="24"/>
        <v>0</v>
      </c>
      <c r="BV36" s="16">
        <f t="shared" ca="1" si="25"/>
        <v>0</v>
      </c>
      <c r="BW36" s="16">
        <f t="shared" ca="1" si="26"/>
        <v>0</v>
      </c>
      <c r="BX36" s="16">
        <f t="shared" ca="1" si="48"/>
        <v>0</v>
      </c>
      <c r="BY36" s="16">
        <f ca="1">BS36+COUNTIFS($BT$6:$BT$53,BT36,$BX$6:BX$53,"&gt;"&amp;BX36,$BC$6:$BC$53,INDEX(T_Equipos[Grupo],MATCH(BD36,T_Equipos[NombreEquipo],0)))</f>
        <v>1</v>
      </c>
      <c r="BZ36" s="16" t="str">
        <f ca="1">IF(COUNTIFS($BY$6:$BY$53,BY36,$BC$6:$BC$53,INDEX(T_Equipos[Grupo],MATCH(BD36,T_Equipos[NombreEquipo],0)))=1,"-","P."&amp;BY36&amp;" ("&amp;COUNTIFS($BY$6:$BY$53,BY36,$BC$6:$BC$53,INDEX(T_Equipos[Grupo],MATCH(BD36,T_Equipos[NombreEquipo],0)))&amp;")")</f>
        <v>P.1 (4)</v>
      </c>
      <c r="CA36" s="16">
        <f t="shared" ca="1" si="27"/>
        <v>0</v>
      </c>
      <c r="CB36" s="16">
        <f t="shared" ca="1" si="28"/>
        <v>0</v>
      </c>
      <c r="CC36" s="16">
        <f t="shared" ca="1" si="49"/>
        <v>0</v>
      </c>
      <c r="CD36" s="16">
        <f ca="1">BY36+COUNTIFS($BZ$6:$BZ$53,BZ36,$CC$6:CC$53,"&gt;"&amp;CC36,$BC$6:$BC$53,INDEX(T_Equipos[Grupo],MATCH(BD36,T_Equipos[NombreEquipo],0)))</f>
        <v>1</v>
      </c>
      <c r="CE36" s="16" t="str">
        <f ca="1">IF(COUNTIFS($CD$6:$CD$53,CD36,$BC$6:$BC$53,INDEX(T_Equipos[Grupo],MATCH(BD36,T_Equipos[NombreEquipo],0)))=1,"-","P."&amp;CD36&amp;" ("&amp;COUNTIFS($CD$6:$CD$53,CD36,$BC$6:$BC$53,INDEX(T_Equipos[Grupo],MATCH(BD36,T_Equipos[NombreEquipo],0)))&amp;")")</f>
        <v>P.1 (4)</v>
      </c>
      <c r="CF36" s="16">
        <f t="shared" ca="1" si="29"/>
        <v>0</v>
      </c>
      <c r="CG36" s="16">
        <f ca="1">CD36+COUNTIFS($CE$6:$CE$53,CE36,$CF$6:CF$53,"&gt;"&amp;CF36,$BC$6:$BC$53,INDEX(T_Equipos[Grupo],MATCH(BD36,T_Equipos[NombreEquipo],0)))</f>
        <v>1</v>
      </c>
      <c r="CH36" s="16" t="str">
        <f ca="1">IF(COUNTIFS($CG$6:$CG$53,CG36,$BC$6:$BC$53,INDEX(T_Equipos[Grupo],MATCH(BD36,T_Equipos[NombreEquipo],0)))=1,"-","P."&amp;CG36&amp;" ("&amp;COUNTIFS($CG$6:$CG$53,CG36,$BC$6:$BC$53,INDEX(T_Equipos[Grupo],MATCH(BD36,T_Equipos[NombreEquipo],0)))&amp;")")</f>
        <v>P.1 (4)</v>
      </c>
      <c r="CI36" s="16">
        <f t="shared" ca="1" si="30"/>
        <v>0</v>
      </c>
      <c r="CJ36" s="16">
        <f t="shared" ca="1" si="31"/>
        <v>0</v>
      </c>
      <c r="CK36" s="16">
        <f t="shared" ca="1" si="32"/>
        <v>0</v>
      </c>
      <c r="CL36" s="16">
        <f t="shared" ca="1" si="50"/>
        <v>0</v>
      </c>
      <c r="CM36" s="16">
        <f ca="1">CG36+COUNTIFS($CH$6:$CH$53,CH36,$CL$6:CL$53,"&gt;"&amp;CL36,$BC$6:$BC$53,INDEX(T_Equipos[Grupo],MATCH(BD36,T_Equipos[NombreEquipo],0)))</f>
        <v>1</v>
      </c>
      <c r="CN36" s="16" t="str">
        <f ca="1">IF(COUNTIFS($CM$6:$CM$53,CM36,$BC$6:$BC$53,INDEX(T_Equipos[Grupo],MATCH(BD36,T_Equipos[NombreEquipo],0)))=1,"-","P."&amp;CM36&amp;" ("&amp;COUNTIFS($CM$6:$CM$53,CM36,$BC$6:$BC$53,INDEX(T_Equipos[Grupo],MATCH(BD36,T_Equipos[NombreEquipo],0)))&amp;")")</f>
        <v>P.1 (4)</v>
      </c>
      <c r="CO36" s="16">
        <f t="shared" ca="1" si="33"/>
        <v>0</v>
      </c>
      <c r="CP36" s="16">
        <f t="shared" ca="1" si="34"/>
        <v>0</v>
      </c>
      <c r="CQ36" s="16">
        <f t="shared" ca="1" si="51"/>
        <v>0</v>
      </c>
      <c r="CR36" s="16">
        <f ca="1">CM36+COUNTIFS($CN$6:$CN$53,CN36,$CQ$6:CQ$53,"&gt;"&amp;CQ36,$BC$6:$BC$53,INDEX(T_Equipos[Grupo],MATCH(BD36,T_Equipos[NombreEquipo],0)))</f>
        <v>1</v>
      </c>
      <c r="CS36" s="16" t="str">
        <f ca="1">IF(COUNTIFS($CR$6:$CR$53,CR36,$BC$6:$BC$53,INDEX(T_Equipos[Grupo],MATCH(BD36,T_Equipos[NombreEquipo],0)))=1,"-","P."&amp;CR36&amp;" ("&amp;COUNTIFS($CR$6:$CR$53,CR36,$BC$6:$BC$53,INDEX(T_Equipos[Grupo],MATCH(BD36,T_Equipos[NombreEquipo],0)))&amp;")")</f>
        <v>P.1 (4)</v>
      </c>
      <c r="CT36" s="16">
        <f t="shared" ca="1" si="35"/>
        <v>0</v>
      </c>
      <c r="CU36" s="16">
        <f ca="1">CR36+COUNTIFS($CS$6:$CS$53,CS36,$CT$6:CT$53,"&gt;"&amp;CT36,$BC$6:$BC$53,INDEX(T_Equipos[Grupo],MATCH(BD36,T_Equipos[NombreEquipo],0)))</f>
        <v>1</v>
      </c>
      <c r="CV36" s="16" t="str">
        <f ca="1">IF(COUNTIFS($CU$6:$CU$53,CU36,$BC$6:$BC$53,INDEX(T_Equipos[Grupo],MATCH(BD36,T_Equipos[NombreEquipo],0)))=1,"-","P."&amp;CU36&amp;" ("&amp;COUNTIFS($CU$6:$CU$53,CU36,$BC$6:$BC$53,INDEX(T_Equipos[Grupo],MATCH(BD36,T_Equipos[NombreEquipo],0)))&amp;")")</f>
        <v>P.1 (4)</v>
      </c>
      <c r="CW36" s="16">
        <f t="shared" ca="1" si="36"/>
        <v>0</v>
      </c>
      <c r="CX36" s="16">
        <f ca="1">CU36+COUNTIFS($CV$6:$CV$53,CV36,$CW$6:CW$53,"&gt;"&amp;CW36,$BC$6:$BC$53,INDEX(T_Equipos[Grupo],MATCH(BD36,T_Equipos[NombreEquipo],0)))</f>
        <v>1</v>
      </c>
      <c r="CY36" s="16" t="str">
        <f ca="1">IF(COUNTIFS($CX$6:$CX$53,CX36,$BC$6:$BC$53,INDEX(T_Equipos[Grupo],MATCH(BD36,T_Equipos[NombreEquipo],0)))=1,"-","P."&amp;CX36&amp;" ("&amp;COUNTIFS($CX$6:$CX$53,CX36,$BC$6:$BC$53,INDEX(T_Equipos[Grupo],MATCH(BD36,T_Equipos[NombreEquipo],0)))&amp;")")</f>
        <v>P.1 (4)</v>
      </c>
      <c r="CZ36" s="16">
        <f t="shared" ca="1" si="37"/>
        <v>0</v>
      </c>
      <c r="DA36" s="16">
        <f ca="1">CX36+COUNTIFS($CY$6:$CY$53,CY36,$CZ$6:CZ$53,"&gt;"&amp;CZ36,$BC$6:$BC$53,INDEX(T_Equipos[Grupo],MATCH(BD36,T_Equipos[NombreEquipo],0)))</f>
        <v>1</v>
      </c>
      <c r="DB36" s="16" t="str">
        <f ca="1">IF(COUNTIFS($DA$6:$DA$53,DA36,$BC$6:$BC$53,INDEX(T_Equipos[Grupo],MATCH(BD36,T_Equipos[NombreEquipo],0)))=1,"-","P."&amp;DA36&amp;" ("&amp;COUNTIFS($DA$6:$DA$53,DA36,$BC$6:$BC$53,INDEX(T_Equipos[Grupo],MATCH(BD36,T_Equipos[NombreEquipo],0)))&amp;")")</f>
        <v>P.1 (4)</v>
      </c>
      <c r="DC36" s="16">
        <f ca="1">IF(DB36="-","-",COUNTIFS(T_Equipos[Rank],"&lt;"&amp;INDEX(T_Equipos[Rank],MATCH(BD36,T_Equipos[NombreEquipo],0)),$BC$6:$BC$53,INDEX(T_Equipos[Grupo],MATCH(BD36,T_Equipos[NombreEquipo],0)))+1)</f>
        <v>3</v>
      </c>
      <c r="DD36" s="16">
        <f ca="1">DA36+COUNTIFS($DB$6:$DB$53,DB36,$DC$6:DC$53,"&lt;"&amp;DC36,$BC$6:$BC$53,INDEX(T_Equipos[Grupo],MATCH(BD36,T_Equipos[NombreEquipo],0)))</f>
        <v>3</v>
      </c>
      <c r="DE36" s="16"/>
      <c r="DF36" s="16">
        <f t="shared" ca="1" si="52"/>
        <v>3</v>
      </c>
      <c r="DG36" s="16">
        <f ca="1">IF(DB36="-","-",COUNTIFS(DF$6:DF$53,"&lt;"&amp;DF36,$BC$6:$BC$53,INDEX(T_Equipos[Grupo],MATCH(BD36,T_Equipos[NombreEquipo],0))))</f>
        <v>2</v>
      </c>
      <c r="DH36" s="16">
        <f ca="1">DA36+COUNTIFS(DB$6:DB$53,DB36,DG$6:DG$53,"&lt;"&amp;DG36,$BC$6:$BC$53,INDEX(T_Equipos[Grupo],MATCH(BD36,T_Equipos[NombreEquipo],0)))</f>
        <v>3</v>
      </c>
      <c r="DI36" s="16"/>
      <c r="DJ36" s="16">
        <f t="shared" ca="1" si="38"/>
        <v>1</v>
      </c>
      <c r="DK36" s="16">
        <f t="shared" ca="1" si="39"/>
        <v>0</v>
      </c>
      <c r="DL36" s="16">
        <f t="shared" ca="1" si="40"/>
        <v>1</v>
      </c>
      <c r="DM36" s="16" t="str">
        <f t="shared" ca="1" si="46"/>
        <v>1.1</v>
      </c>
      <c r="DN36" s="16" cm="1">
        <f t="array" aca="1" ref="DN36" ca="1">OFFSET(Horarios!$P$3,DJ36-1,0,DL36,1)</f>
        <v>1</v>
      </c>
      <c r="DO36" s="16"/>
      <c r="DP36" s="16" t="s">
        <v>446</v>
      </c>
      <c r="DQ36" s="16" t="str">
        <f t="shared" ca="1" si="47"/>
        <v>Arabia Saudita</v>
      </c>
    </row>
    <row r="37" spans="1:121" ht="16" customHeight="1" x14ac:dyDescent="0.2">
      <c r="A37" s="16" t="str">
        <f ca="1">+Equipos!B18</f>
        <v>Alemania</v>
      </c>
      <c r="B37" s="16"/>
      <c r="C37" s="16"/>
      <c r="D37" s="16" t="str">
        <f t="shared" si="111"/>
        <v>Pendiente</v>
      </c>
      <c r="E37" s="16" t="str">
        <f t="shared" si="112"/>
        <v>-</v>
      </c>
      <c r="F37" s="16" t="str">
        <f t="shared" si="113"/>
        <v>-</v>
      </c>
      <c r="G37" s="16"/>
      <c r="H37" s="16" t="str">
        <f t="shared" si="114"/>
        <v>-</v>
      </c>
      <c r="I37" s="16" t="str">
        <f t="shared" si="115"/>
        <v>-</v>
      </c>
      <c r="J37" s="16"/>
      <c r="K37" s="16" t="str">
        <f t="shared" si="116"/>
        <v>-</v>
      </c>
      <c r="L37" s="16" t="str">
        <f t="shared" si="117"/>
        <v>-</v>
      </c>
      <c r="M37" s="16"/>
      <c r="N37" s="16" t="str">
        <f t="shared" si="118"/>
        <v>-</v>
      </c>
      <c r="O37" s="16" t="str">
        <f t="shared" si="119"/>
        <v>-</v>
      </c>
      <c r="P37" s="16"/>
      <c r="Q37" s="16" t="str">
        <f t="shared" si="120"/>
        <v>-</v>
      </c>
      <c r="R37" s="16" t="str">
        <f t="shared" si="121"/>
        <v>-</v>
      </c>
      <c r="S37" s="16"/>
      <c r="T37" s="16" t="str">
        <f t="shared" si="122"/>
        <v>-</v>
      </c>
      <c r="U37" s="16" t="str">
        <f t="shared" si="123"/>
        <v>-</v>
      </c>
      <c r="V37" s="17"/>
      <c r="W37" s="683"/>
      <c r="X37" s="24">
        <f ca="1">Horarios!C37</f>
        <v>46188.041666666664</v>
      </c>
      <c r="Y37" s="25">
        <f ca="1">Horarios!C37</f>
        <v>46188.041666666664</v>
      </c>
      <c r="Z37" s="26" t="str">
        <f>$Z$4</f>
        <v>J1</v>
      </c>
      <c r="AA37" s="27" t="str">
        <f ca="1">A39</f>
        <v>Costa de Marfil</v>
      </c>
      <c r="AB37" s="49" t="str" cm="1">
        <f t="array" aca="1" ref="AB37" ca="1">Ver_flag_local</f>
        <v>🇨🇮</v>
      </c>
      <c r="AC37" s="50"/>
      <c r="AD37" s="51"/>
      <c r="AE37" s="595" t="str" cm="1">
        <f t="array" aca="1" ref="AE37" ca="1">Ver_flag_visit</f>
        <v>🇪🇨</v>
      </c>
      <c r="AF37" s="32" t="str">
        <f ca="1">A40</f>
        <v>Ecuador</v>
      </c>
      <c r="AG37" s="323">
        <f t="shared" si="124"/>
        <v>0</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0</v>
      </c>
      <c r="BF37" s="16">
        <f t="shared" ca="1" si="41"/>
        <v>0</v>
      </c>
      <c r="BG37" s="16">
        <f t="shared" ca="1" si="17"/>
        <v>0</v>
      </c>
      <c r="BH37" s="16">
        <f t="shared" ca="1" si="18"/>
        <v>0</v>
      </c>
      <c r="BI37" s="16">
        <f t="shared" ca="1" si="19"/>
        <v>0</v>
      </c>
      <c r="BJ37" s="16">
        <f t="shared" ca="1" si="20"/>
        <v>0</v>
      </c>
      <c r="BK37" s="16">
        <f t="shared" ca="1" si="21"/>
        <v>0</v>
      </c>
      <c r="BL37" s="16">
        <f t="shared" ca="1" si="42"/>
        <v>0</v>
      </c>
      <c r="BM37" s="16" t="str">
        <f t="shared" ca="1" si="22"/>
        <v>4H</v>
      </c>
      <c r="BN37" s="16" t="str">
        <f t="shared" ca="1" si="23"/>
        <v>4H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0</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(4)</v>
      </c>
      <c r="BU37" s="16">
        <f t="shared" ca="1" si="24"/>
        <v>0</v>
      </c>
      <c r="BV37" s="16">
        <f t="shared" ca="1" si="25"/>
        <v>0</v>
      </c>
      <c r="BW37" s="16">
        <f t="shared" ca="1" si="26"/>
        <v>0</v>
      </c>
      <c r="BX37" s="16">
        <f t="shared" ca="1" si="48"/>
        <v>0</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(4)</v>
      </c>
      <c r="CA37" s="16">
        <f t="shared" ca="1" si="27"/>
        <v>0</v>
      </c>
      <c r="CB37" s="16">
        <f t="shared" ca="1" si="28"/>
        <v>0</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(4)</v>
      </c>
      <c r="CF37" s="16">
        <f t="shared" ca="1" si="29"/>
        <v>0</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(4)</v>
      </c>
      <c r="CI37" s="16">
        <f t="shared" ca="1" si="30"/>
        <v>0</v>
      </c>
      <c r="CJ37" s="16">
        <f t="shared" ca="1" si="31"/>
        <v>0</v>
      </c>
      <c r="CK37" s="16">
        <f t="shared" ca="1" si="32"/>
        <v>0</v>
      </c>
      <c r="CL37" s="16">
        <f t="shared" ca="1" si="50"/>
        <v>0</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(4)</v>
      </c>
      <c r="CO37" s="16">
        <f t="shared" ca="1" si="33"/>
        <v>0</v>
      </c>
      <c r="CP37" s="16">
        <f t="shared" ca="1" si="34"/>
        <v>0</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(4)</v>
      </c>
      <c r="CT37" s="16">
        <f t="shared" ca="1" si="35"/>
        <v>0</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(4)</v>
      </c>
      <c r="CW37" s="16">
        <f t="shared" ca="1" si="36"/>
        <v>0</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(4)</v>
      </c>
      <c r="CZ37" s="16">
        <f t="shared" ca="1" si="37"/>
        <v>0</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P.1 (4)</v>
      </c>
      <c r="DC37" s="16">
        <f ca="1">IF(DB37="-","-",COUNTIFS(T_Equipos[Rank],"&lt;"&amp;INDEX(T_Equipos[Rank],MATCH(BD37,T_Equipos[NombreEquipo],0)),$BC$6:$BC$53,INDEX(T_Equipos[Grupo],MATCH(BD37,T_Equipos[NombreEquipo],0)))+1)</f>
        <v>4</v>
      </c>
      <c r="DD37" s="16">
        <f ca="1">DA37+COUNTIFS($DB$6:$DB$53,DB37,$DC$6:DC$53,"&lt;"&amp;DC37,$BC$6:$BC$53,INDEX(T_Equipos[Grupo],MATCH(BD37,T_Equipos[NombreEquipo],0)))</f>
        <v>4</v>
      </c>
      <c r="DE37" s="16"/>
      <c r="DF37" s="16">
        <f t="shared" ca="1" si="52"/>
        <v>4</v>
      </c>
      <c r="DG37" s="16">
        <f ca="1">IF(DB37="-","-",COUNTIFS(DF$6:DF$53,"&lt;"&amp;DF37,$BC$6:$BC$53,INDEX(T_Equipos[Grupo],MATCH(BD37,T_Equipos[NombreEquipo],0))))</f>
        <v>3</v>
      </c>
      <c r="DH37" s="16">
        <f ca="1">DA37+COUNTIFS(DB$6:DB$53,DB37,DG$6:DG$53,"&lt;"&amp;DG37,$BC$6:$BC$53,INDEX(T_Equipos[Grupo],MATCH(BD37,T_Equipos[NombreEquipo],0)))</f>
        <v>4</v>
      </c>
      <c r="DI37" s="16"/>
      <c r="DJ37" s="16">
        <f t="shared" ca="1" si="38"/>
        <v>1</v>
      </c>
      <c r="DK37" s="16">
        <f t="shared" ca="1" si="39"/>
        <v>0</v>
      </c>
      <c r="DL37" s="16">
        <f t="shared" ca="1" si="40"/>
        <v>1</v>
      </c>
      <c r="DM37" s="16" t="str">
        <f t="shared" ca="1" si="46"/>
        <v>1.1</v>
      </c>
      <c r="DN37" s="16" cm="1">
        <f t="array" aca="1" ref="DN37" ca="1">OFFSET(Horarios!$P$3,DJ37-1,0,DL37,1)</f>
        <v>1</v>
      </c>
      <c r="DO37" s="16"/>
      <c r="DP37" s="16" t="s">
        <v>684</v>
      </c>
      <c r="DQ37" s="16" t="str">
        <f t="shared" ca="1" si="47"/>
        <v>Uruguay</v>
      </c>
    </row>
    <row r="38" spans="1:121" ht="16" customHeight="1" x14ac:dyDescent="0.2">
      <c r="A38" s="16" t="str">
        <f ca="1">+Equipos!B19</f>
        <v>Curazao</v>
      </c>
      <c r="B38" s="16"/>
      <c r="C38" s="16"/>
      <c r="D38" s="16" t="str">
        <f t="shared" si="111"/>
        <v>Pendiente</v>
      </c>
      <c r="E38" s="16" t="str">
        <f t="shared" si="112"/>
        <v>-</v>
      </c>
      <c r="F38" s="16" t="str">
        <f t="shared" si="113"/>
        <v>-</v>
      </c>
      <c r="G38" s="16"/>
      <c r="H38" s="16" t="str">
        <f t="shared" si="114"/>
        <v>-</v>
      </c>
      <c r="I38" s="16" t="str">
        <f t="shared" si="115"/>
        <v>-</v>
      </c>
      <c r="J38" s="16"/>
      <c r="K38" s="16" t="str">
        <f t="shared" si="116"/>
        <v>-</v>
      </c>
      <c r="L38" s="16" t="str">
        <f t="shared" si="117"/>
        <v>-</v>
      </c>
      <c r="M38" s="16"/>
      <c r="N38" s="16" t="str">
        <f t="shared" si="118"/>
        <v>-</v>
      </c>
      <c r="O38" s="16" t="str">
        <f t="shared" si="119"/>
        <v>-</v>
      </c>
      <c r="P38" s="16"/>
      <c r="Q38" s="16" t="str">
        <f t="shared" si="120"/>
        <v>-</v>
      </c>
      <c r="R38" s="16" t="str">
        <f t="shared" si="121"/>
        <v>-</v>
      </c>
      <c r="S38" s="16"/>
      <c r="T38" s="16" t="str">
        <f t="shared" si="122"/>
        <v>-</v>
      </c>
      <c r="U38" s="16" t="str">
        <f t="shared" si="123"/>
        <v>-</v>
      </c>
      <c r="V38" s="17"/>
      <c r="W38" s="683"/>
      <c r="X38" s="24">
        <f ca="1">Horarios!C38</f>
        <v>46193.916666666664</v>
      </c>
      <c r="Y38" s="25">
        <f ca="1">Horarios!C38</f>
        <v>46193.916666666664</v>
      </c>
      <c r="Z38" s="26" t="str">
        <f>$Z$6</f>
        <v>J2</v>
      </c>
      <c r="AA38" s="27" t="str">
        <f ca="1">A37</f>
        <v>Alemania</v>
      </c>
      <c r="AB38" s="49" t="str" cm="1">
        <f t="array" aca="1" ref="AB38" ca="1">Ver_flag_local</f>
        <v>🇩🇪</v>
      </c>
      <c r="AC38" s="50"/>
      <c r="AD38" s="51"/>
      <c r="AE38" s="595" t="str" cm="1">
        <f t="array" aca="1" ref="AE38" ca="1">Ver_flag_visit</f>
        <v>🇨🇮</v>
      </c>
      <c r="AF38" s="32" t="str">
        <f ca="1">A39</f>
        <v>Costa de Marfil</v>
      </c>
      <c r="AG38" s="323">
        <f t="shared" si="124"/>
        <v>0</v>
      </c>
      <c r="AH38" s="195">
        <v>33</v>
      </c>
      <c r="AI38" s="181" t="str">
        <f>AJ38&amp;$B$36</f>
        <v>1E</v>
      </c>
      <c r="AJ38" s="40">
        <v>1</v>
      </c>
      <c r="AK38" s="601" t="str" cm="1">
        <f t="array" aca="1" ref="AK38" ca="1">Ver_flag_visit</f>
        <v>🇩🇪</v>
      </c>
      <c r="AL38" s="34" t="str">
        <f ca="1">IFERROR(INDEX($BD$6:$BD$53,MATCH(AI38,$BN$6:$BN$53,0)),"")</f>
        <v>Alemania</v>
      </c>
      <c r="AM38" s="35">
        <f t="shared" ref="AM38:AT41" ca="1" si="127">INDEX($BE$6:$BN$53,MATCH($AL38,$BD$6:$BD$53,0),MATCH(AM$5,$BE$5:$BN$5,0))</f>
        <v>0</v>
      </c>
      <c r="AN38" s="36">
        <f t="shared" ca="1" si="127"/>
        <v>0</v>
      </c>
      <c r="AO38" s="36">
        <f t="shared" ca="1" si="127"/>
        <v>0</v>
      </c>
      <c r="AP38" s="36">
        <f t="shared" ca="1" si="127"/>
        <v>0</v>
      </c>
      <c r="AQ38" s="36">
        <f t="shared" ca="1" si="127"/>
        <v>0</v>
      </c>
      <c r="AR38" s="36">
        <f t="shared" ca="1" si="127"/>
        <v>0</v>
      </c>
      <c r="AS38" s="36">
        <f t="shared" ca="1" si="127"/>
        <v>0</v>
      </c>
      <c r="AT38" s="41">
        <f t="shared" ca="1" si="127"/>
        <v>0</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0</v>
      </c>
      <c r="BF38" s="16">
        <f t="shared" ca="1" si="41"/>
        <v>0</v>
      </c>
      <c r="BG38" s="16">
        <f t="shared" ca="1" si="17"/>
        <v>0</v>
      </c>
      <c r="BH38" s="16">
        <f t="shared" ca="1" si="18"/>
        <v>0</v>
      </c>
      <c r="BI38" s="16">
        <f t="shared" ca="1" si="19"/>
        <v>0</v>
      </c>
      <c r="BJ38" s="16">
        <f t="shared" ca="1" si="20"/>
        <v>0</v>
      </c>
      <c r="BK38" s="16">
        <f t="shared" ca="1" si="21"/>
        <v>0</v>
      </c>
      <c r="BL38" s="16">
        <f t="shared" ca="1" si="42"/>
        <v>0</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0</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(4)</v>
      </c>
      <c r="BU38" s="16">
        <f t="shared" ca="1" si="24"/>
        <v>0</v>
      </c>
      <c r="BV38" s="16">
        <f t="shared" ca="1" si="25"/>
        <v>0</v>
      </c>
      <c r="BW38" s="16">
        <f t="shared" ca="1" si="26"/>
        <v>0</v>
      </c>
      <c r="BX38" s="16">
        <f t="shared" ca="1" si="48"/>
        <v>0</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(4)</v>
      </c>
      <c r="CA38" s="16">
        <f t="shared" ca="1" si="27"/>
        <v>0</v>
      </c>
      <c r="CB38" s="16">
        <f t="shared" ca="1" si="28"/>
        <v>0</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(4)</v>
      </c>
      <c r="CF38" s="16">
        <f t="shared" ca="1" si="29"/>
        <v>0</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(4)</v>
      </c>
      <c r="CI38" s="16">
        <f t="shared" ca="1" si="30"/>
        <v>0</v>
      </c>
      <c r="CJ38" s="16">
        <f t="shared" ca="1" si="31"/>
        <v>0</v>
      </c>
      <c r="CK38" s="16">
        <f t="shared" ca="1" si="32"/>
        <v>0</v>
      </c>
      <c r="CL38" s="16">
        <f t="shared" ca="1" si="50"/>
        <v>0</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(4)</v>
      </c>
      <c r="CO38" s="16">
        <f t="shared" ca="1" si="33"/>
        <v>0</v>
      </c>
      <c r="CP38" s="16">
        <f t="shared" ca="1" si="34"/>
        <v>0</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(4)</v>
      </c>
      <c r="CT38" s="16">
        <f t="shared" ca="1" si="35"/>
        <v>0</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(4)</v>
      </c>
      <c r="CW38" s="16">
        <f t="shared" ca="1" si="36"/>
        <v>0</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P.1 (4)</v>
      </c>
      <c r="CZ38" s="16">
        <f t="shared" ca="1" si="37"/>
        <v>0</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P.1 (4)</v>
      </c>
      <c r="DC38" s="16">
        <f ca="1">IF(DB38="-","-",COUNTIFS(T_Equipos[Rank],"&lt;"&amp;INDEX(T_Equipos[Rank],MATCH(BD38,T_Equipos[NombreEquipo],0)),$BC$6:$BC$53,INDEX(T_Equipos[Grupo],MATCH(BD38,T_Equipos[NombreEquipo],0)))+1)</f>
        <v>1</v>
      </c>
      <c r="DD38" s="16">
        <f ca="1">DA38+COUNTIFS($DB$6:$DB$53,DB38,$DC$6:DC$53,"&lt;"&amp;DC38,$BC$6:$BC$53,INDEX(T_Equipos[Grupo],MATCH(BD38,T_Equipos[NombreEquipo],0)))</f>
        <v>1</v>
      </c>
      <c r="DE38" s="16"/>
      <c r="DF38" s="16">
        <f t="shared" ca="1" si="52"/>
        <v>1</v>
      </c>
      <c r="DG38" s="16">
        <f ca="1">IF(DB38="-","-",COUNTIFS(DF$6:DF$53,"&lt;"&amp;DF38,$BC$6:$BC$53,INDEX(T_Equipos[Grupo],MATCH(BD38,T_Equipos[NombreEquipo],0))))</f>
        <v>0</v>
      </c>
      <c r="DH38" s="16">
        <f ca="1">DA38+COUNTIFS(DB$6:DB$53,DB38,DG$6:DG$53,"&lt;"&amp;DG38,$BC$6:$BC$53,INDEX(T_Equipos[Grupo],MATCH(BD38,T_Equipos[NombreEquipo],0)))</f>
        <v>1</v>
      </c>
      <c r="DI38" s="16"/>
      <c r="DJ38" s="16">
        <f t="shared" ca="1" si="38"/>
        <v>1</v>
      </c>
      <c r="DK38" s="16">
        <f t="shared" ca="1" si="39"/>
        <v>0</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x14ac:dyDescent="0.2">
      <c r="A39" s="16" t="str">
        <f ca="1">+Equipos!B20</f>
        <v>Costa de Marfil</v>
      </c>
      <c r="B39" s="16"/>
      <c r="C39" s="16"/>
      <c r="D39" s="16" t="str">
        <f t="shared" si="111"/>
        <v>Pendiente</v>
      </c>
      <c r="E39" s="16" t="str">
        <f t="shared" si="112"/>
        <v>-</v>
      </c>
      <c r="F39" s="16" t="str">
        <f t="shared" si="113"/>
        <v>-</v>
      </c>
      <c r="G39" s="16"/>
      <c r="H39" s="16" t="str">
        <f t="shared" si="114"/>
        <v>-</v>
      </c>
      <c r="I39" s="16" t="str">
        <f t="shared" si="115"/>
        <v>-</v>
      </c>
      <c r="J39" s="16"/>
      <c r="K39" s="16" t="str">
        <f t="shared" si="116"/>
        <v>-</v>
      </c>
      <c r="L39" s="16" t="str">
        <f t="shared" si="117"/>
        <v>-</v>
      </c>
      <c r="M39" s="16"/>
      <c r="N39" s="16" t="str">
        <f t="shared" si="118"/>
        <v>-</v>
      </c>
      <c r="O39" s="16" t="str">
        <f t="shared" si="119"/>
        <v>-</v>
      </c>
      <c r="P39" s="16"/>
      <c r="Q39" s="16" t="str">
        <f t="shared" si="120"/>
        <v>-</v>
      </c>
      <c r="R39" s="16" t="str">
        <f t="shared" si="121"/>
        <v>-</v>
      </c>
      <c r="S39" s="16"/>
      <c r="T39" s="16" t="str">
        <f t="shared" si="122"/>
        <v>-</v>
      </c>
      <c r="U39" s="16" t="str">
        <f t="shared" si="123"/>
        <v>-</v>
      </c>
      <c r="V39" s="17"/>
      <c r="W39" s="683"/>
      <c r="X39" s="24">
        <f ca="1">Horarios!C39</f>
        <v>46194.083333333336</v>
      </c>
      <c r="Y39" s="25">
        <f ca="1">Horarios!C39</f>
        <v>46194.083333333336</v>
      </c>
      <c r="Z39" s="26" t="str">
        <f>$Z$6</f>
        <v>J2</v>
      </c>
      <c r="AA39" s="27" t="str">
        <f ca="1">A40</f>
        <v>Ecuador</v>
      </c>
      <c r="AB39" s="49" t="str" cm="1">
        <f t="array" aca="1" ref="AB39" ca="1">Ver_flag_local</f>
        <v>🇪🇨</v>
      </c>
      <c r="AC39" s="50"/>
      <c r="AD39" s="51"/>
      <c r="AE39" s="595" t="str" cm="1">
        <f t="array" aca="1" ref="AE39" ca="1">Ver_flag_visit</f>
        <v>🇨🇼</v>
      </c>
      <c r="AF39" s="32" t="str">
        <f ca="1">A38</f>
        <v>Curazao</v>
      </c>
      <c r="AG39" s="323">
        <f t="shared" si="124"/>
        <v>0</v>
      </c>
      <c r="AH39" s="195">
        <v>34</v>
      </c>
      <c r="AI39" s="181" t="str">
        <f t="shared" ref="AI39:AI41" si="128">AJ39&amp;$B$36</f>
        <v>2E</v>
      </c>
      <c r="AJ39" s="42">
        <v>2</v>
      </c>
      <c r="AK39" s="602" t="str" cm="1">
        <f t="array" aca="1" ref="AK39" ca="1">Ver_flag_visit</f>
        <v>🇨🇼</v>
      </c>
      <c r="AL39" s="37" t="str">
        <f ca="1">IFERROR(INDEX($BD$6:$BD$53,MATCH(AI39,$BN$6:$BN$53,0)),"")</f>
        <v>Curazao</v>
      </c>
      <c r="AM39" s="38">
        <f t="shared" ca="1" si="127"/>
        <v>0</v>
      </c>
      <c r="AN39" s="39">
        <f t="shared" ca="1" si="127"/>
        <v>0</v>
      </c>
      <c r="AO39" s="39">
        <f t="shared" ca="1" si="127"/>
        <v>0</v>
      </c>
      <c r="AP39" s="39">
        <f t="shared" ca="1" si="127"/>
        <v>0</v>
      </c>
      <c r="AQ39" s="39">
        <f t="shared" ca="1" si="127"/>
        <v>0</v>
      </c>
      <c r="AR39" s="39">
        <f t="shared" ca="1" si="127"/>
        <v>0</v>
      </c>
      <c r="AS39" s="39">
        <f t="shared" ca="1" si="127"/>
        <v>0</v>
      </c>
      <c r="AT39" s="43">
        <f t="shared" ca="1" si="127"/>
        <v>0</v>
      </c>
      <c r="AU39" s="330">
        <f ca="1">INDEX($DL$6:$DL$53,MATCH(AI39,$DP$6:$DP$53,0))</f>
        <v>1</v>
      </c>
      <c r="AV39" s="182" t="str">
        <f ca="1">INDEX($BD$6:$BD$53,MATCH(AI39,$BM$6:$BM$53,0))</f>
        <v>Curazao</v>
      </c>
      <c r="AW39" s="210"/>
      <c r="AX39" s="171"/>
      <c r="AY39" s="203" t="str">
        <f ca="1">+A38</f>
        <v>Curazao</v>
      </c>
      <c r="AZ39" s="204"/>
      <c r="BA39" s="176"/>
      <c r="BC39" s="16" t="str">
        <f ca="1">+INDEX(T_Equipos[Grupo],MATCH(WORLDCUP!BD39,T_Equipos[NombreEquipo],0))</f>
        <v>I</v>
      </c>
      <c r="BD39" s="16" t="str">
        <f ca="1">+Equipos!B35</f>
        <v>Senegal</v>
      </c>
      <c r="BE39" s="16">
        <f t="shared" ca="1" si="16"/>
        <v>0</v>
      </c>
      <c r="BF39" s="16">
        <f t="shared" ca="1" si="41"/>
        <v>0</v>
      </c>
      <c r="BG39" s="16">
        <f t="shared" ca="1" si="17"/>
        <v>0</v>
      </c>
      <c r="BH39" s="16">
        <f t="shared" ca="1" si="18"/>
        <v>0</v>
      </c>
      <c r="BI39" s="16">
        <f t="shared" ca="1" si="19"/>
        <v>0</v>
      </c>
      <c r="BJ39" s="16">
        <f t="shared" ca="1" si="20"/>
        <v>0</v>
      </c>
      <c r="BK39" s="16">
        <f t="shared" ca="1" si="21"/>
        <v>0</v>
      </c>
      <c r="BL39" s="16">
        <f t="shared" ca="1" si="42"/>
        <v>0</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0</v>
      </c>
      <c r="BS39" s="16">
        <f ca="1">BP39+COUNTIFS($BQ$6:$BQ$53,BQ39,$BR$6:BR$53,"&gt;"&amp;BR39,$BC$6:$BC$53,INDEX(T_Equipos[Grupo],MATCH(BD39,T_Equipos[NombreEquipo],0)))</f>
        <v>1</v>
      </c>
      <c r="BT39" s="16" t="str">
        <f ca="1">IF(COUNTIFS($BS$6:$BS$53,BS39,$BC$6:$BC$53,INDEX(T_Equipos[Grupo],MATCH(BD39,T_Equipos[NombreEquipo],0)))=1,"-","P."&amp;BS39&amp;" ("&amp;COUNTIFS($BS$6:$BS$53,BS39,$BC$6:$BC$53,INDEX(T_Equipos[Grupo],MATCH(BD39,T_Equipos[NombreEquipo],0)))&amp;")")</f>
        <v>P.1 (4)</v>
      </c>
      <c r="BU39" s="16">
        <f t="shared" ca="1" si="24"/>
        <v>0</v>
      </c>
      <c r="BV39" s="16">
        <f t="shared" ca="1" si="25"/>
        <v>0</v>
      </c>
      <c r="BW39" s="16">
        <f t="shared" ca="1" si="26"/>
        <v>0</v>
      </c>
      <c r="BX39" s="16">
        <f t="shared" ca="1" si="48"/>
        <v>0</v>
      </c>
      <c r="BY39" s="16">
        <f ca="1">BS39+COUNTIFS($BT$6:$BT$53,BT39,$BX$6:BX$53,"&gt;"&amp;BX39,$BC$6:$BC$53,INDEX(T_Equipos[Grupo],MATCH(BD39,T_Equipos[NombreEquipo],0)))</f>
        <v>1</v>
      </c>
      <c r="BZ39" s="16" t="str">
        <f ca="1">IF(COUNTIFS($BY$6:$BY$53,BY39,$BC$6:$BC$53,INDEX(T_Equipos[Grupo],MATCH(BD39,T_Equipos[NombreEquipo],0)))=1,"-","P."&amp;BY39&amp;" ("&amp;COUNTIFS($BY$6:$BY$53,BY39,$BC$6:$BC$53,INDEX(T_Equipos[Grupo],MATCH(BD39,T_Equipos[NombreEquipo],0)))&amp;")")</f>
        <v>P.1 (4)</v>
      </c>
      <c r="CA39" s="16">
        <f t="shared" ca="1" si="27"/>
        <v>0</v>
      </c>
      <c r="CB39" s="16">
        <f t="shared" ca="1" si="28"/>
        <v>0</v>
      </c>
      <c r="CC39" s="16">
        <f t="shared" ca="1" si="49"/>
        <v>0</v>
      </c>
      <c r="CD39" s="16">
        <f ca="1">BY39+COUNTIFS($BZ$6:$BZ$53,BZ39,$CC$6:CC$53,"&gt;"&amp;CC39,$BC$6:$BC$53,INDEX(T_Equipos[Grupo],MATCH(BD39,T_Equipos[NombreEquipo],0)))</f>
        <v>1</v>
      </c>
      <c r="CE39" s="16" t="str">
        <f ca="1">IF(COUNTIFS($CD$6:$CD$53,CD39,$BC$6:$BC$53,INDEX(T_Equipos[Grupo],MATCH(BD39,T_Equipos[NombreEquipo],0)))=1,"-","P."&amp;CD39&amp;" ("&amp;COUNTIFS($CD$6:$CD$53,CD39,$BC$6:$BC$53,INDEX(T_Equipos[Grupo],MATCH(BD39,T_Equipos[NombreEquipo],0)))&amp;")")</f>
        <v>P.1 (4)</v>
      </c>
      <c r="CF39" s="16">
        <f t="shared" ca="1" si="29"/>
        <v>0</v>
      </c>
      <c r="CG39" s="16">
        <f ca="1">CD39+COUNTIFS($CE$6:$CE$53,CE39,$CF$6:CF$53,"&gt;"&amp;CF39,$BC$6:$BC$53,INDEX(T_Equipos[Grupo],MATCH(BD39,T_Equipos[NombreEquipo],0)))</f>
        <v>1</v>
      </c>
      <c r="CH39" s="16" t="str">
        <f ca="1">IF(COUNTIFS($CG$6:$CG$53,CG39,$BC$6:$BC$53,INDEX(T_Equipos[Grupo],MATCH(BD39,T_Equipos[NombreEquipo],0)))=1,"-","P."&amp;CG39&amp;" ("&amp;COUNTIFS($CG$6:$CG$53,CG39,$BC$6:$BC$53,INDEX(T_Equipos[Grupo],MATCH(BD39,T_Equipos[NombreEquipo],0)))&amp;")")</f>
        <v>P.1 (4)</v>
      </c>
      <c r="CI39" s="16">
        <f t="shared" ca="1" si="30"/>
        <v>0</v>
      </c>
      <c r="CJ39" s="16">
        <f t="shared" ca="1" si="31"/>
        <v>0</v>
      </c>
      <c r="CK39" s="16">
        <f t="shared" ca="1" si="32"/>
        <v>0</v>
      </c>
      <c r="CL39" s="16">
        <f t="shared" ca="1" si="50"/>
        <v>0</v>
      </c>
      <c r="CM39" s="16">
        <f ca="1">CG39+COUNTIFS($CH$6:$CH$53,CH39,$CL$6:CL$53,"&gt;"&amp;CL39,$BC$6:$BC$53,INDEX(T_Equipos[Grupo],MATCH(BD39,T_Equipos[NombreEquipo],0)))</f>
        <v>1</v>
      </c>
      <c r="CN39" s="16" t="str">
        <f ca="1">IF(COUNTIFS($CM$6:$CM$53,CM39,$BC$6:$BC$53,INDEX(T_Equipos[Grupo],MATCH(BD39,T_Equipos[NombreEquipo],0)))=1,"-","P."&amp;CM39&amp;" ("&amp;COUNTIFS($CM$6:$CM$53,CM39,$BC$6:$BC$53,INDEX(T_Equipos[Grupo],MATCH(BD39,T_Equipos[NombreEquipo],0)))&amp;")")</f>
        <v>P.1 (4)</v>
      </c>
      <c r="CO39" s="16">
        <f t="shared" ca="1" si="33"/>
        <v>0</v>
      </c>
      <c r="CP39" s="16">
        <f t="shared" ca="1" si="34"/>
        <v>0</v>
      </c>
      <c r="CQ39" s="16">
        <f t="shared" ca="1" si="51"/>
        <v>0</v>
      </c>
      <c r="CR39" s="16">
        <f ca="1">CM39+COUNTIFS($CN$6:$CN$53,CN39,$CQ$6:CQ$53,"&gt;"&amp;CQ39,$BC$6:$BC$53,INDEX(T_Equipos[Grupo],MATCH(BD39,T_Equipos[NombreEquipo],0)))</f>
        <v>1</v>
      </c>
      <c r="CS39" s="16" t="str">
        <f ca="1">IF(COUNTIFS($CR$6:$CR$53,CR39,$BC$6:$BC$53,INDEX(T_Equipos[Grupo],MATCH(BD39,T_Equipos[NombreEquipo],0)))=1,"-","P."&amp;CR39&amp;" ("&amp;COUNTIFS($CR$6:$CR$53,CR39,$BC$6:$BC$53,INDEX(T_Equipos[Grupo],MATCH(BD39,T_Equipos[NombreEquipo],0)))&amp;")")</f>
        <v>P.1 (4)</v>
      </c>
      <c r="CT39" s="16">
        <f t="shared" ca="1" si="35"/>
        <v>0</v>
      </c>
      <c r="CU39" s="16">
        <f ca="1">CR39+COUNTIFS($CS$6:$CS$53,CS39,$CT$6:CT$53,"&gt;"&amp;CT39,$BC$6:$BC$53,INDEX(T_Equipos[Grupo],MATCH(BD39,T_Equipos[NombreEquipo],0)))</f>
        <v>1</v>
      </c>
      <c r="CV39" s="16" t="str">
        <f ca="1">IF(COUNTIFS($CU$6:$CU$53,CU39,$BC$6:$BC$53,INDEX(T_Equipos[Grupo],MATCH(BD39,T_Equipos[NombreEquipo],0)))=1,"-","P."&amp;CU39&amp;" ("&amp;COUNTIFS($CU$6:$CU$53,CU39,$BC$6:$BC$53,INDEX(T_Equipos[Grupo],MATCH(BD39,T_Equipos[NombreEquipo],0)))&amp;")")</f>
        <v>P.1 (4)</v>
      </c>
      <c r="CW39" s="16">
        <f t="shared" ca="1" si="36"/>
        <v>0</v>
      </c>
      <c r="CX39" s="16">
        <f ca="1">CU39+COUNTIFS($CV$6:$CV$53,CV39,$CW$6:CW$53,"&gt;"&amp;CW39,$BC$6:$BC$53,INDEX(T_Equipos[Grupo],MATCH(BD39,T_Equipos[NombreEquipo],0)))</f>
        <v>1</v>
      </c>
      <c r="CY39" s="16" t="str">
        <f ca="1">IF(COUNTIFS($CX$6:$CX$53,CX39,$BC$6:$BC$53,INDEX(T_Equipos[Grupo],MATCH(BD39,T_Equipos[NombreEquipo],0)))=1,"-","P."&amp;CX39&amp;" ("&amp;COUNTIFS($CX$6:$CX$53,CX39,$BC$6:$BC$53,INDEX(T_Equipos[Grupo],MATCH(BD39,T_Equipos[NombreEquipo],0)))&amp;")")</f>
        <v>P.1 (4)</v>
      </c>
      <c r="CZ39" s="16">
        <f t="shared" ca="1" si="37"/>
        <v>0</v>
      </c>
      <c r="DA39" s="16">
        <f ca="1">CX39+COUNTIFS($CY$6:$CY$53,CY39,$CZ$6:CZ$53,"&gt;"&amp;CZ39,$BC$6:$BC$53,INDEX(T_Equipos[Grupo],MATCH(BD39,T_Equipos[NombreEquipo],0)))</f>
        <v>1</v>
      </c>
      <c r="DB39" s="16" t="str">
        <f ca="1">IF(COUNTIFS($DA$6:$DA$53,DA39,$BC$6:$BC$53,INDEX(T_Equipos[Grupo],MATCH(BD39,T_Equipos[NombreEquipo],0)))=1,"-","P."&amp;DA39&amp;" ("&amp;COUNTIFS($DA$6:$DA$53,DA39,$BC$6:$BC$53,INDEX(T_Equipos[Grupo],MATCH(BD39,T_Equipos[NombreEquipo],0)))&amp;")")</f>
        <v>P.1 (4)</v>
      </c>
      <c r="DC39" s="16">
        <f ca="1">IF(DB39="-","-",COUNTIFS(T_Equipos[Rank],"&lt;"&amp;INDEX(T_Equipos[Rank],MATCH(BD39,T_Equipos[NombreEquipo],0)),$BC$6:$BC$53,INDEX(T_Equipos[Grupo],MATCH(BD39,T_Equipos[NombreEquipo],0)))+1)</f>
        <v>2</v>
      </c>
      <c r="DD39" s="16">
        <f ca="1">DA39+COUNTIFS($DB$6:$DB$53,DB39,$DC$6:DC$53,"&lt;"&amp;DC39,$BC$6:$BC$53,INDEX(T_Equipos[Grupo],MATCH(BD39,T_Equipos[NombreEquipo],0)))</f>
        <v>2</v>
      </c>
      <c r="DE39" s="16"/>
      <c r="DF39" s="16">
        <f t="shared" ca="1" si="52"/>
        <v>2</v>
      </c>
      <c r="DG39" s="16">
        <f ca="1">IF(DB39="-","-",COUNTIFS(DF$6:DF$53,"&lt;"&amp;DF39,$BC$6:$BC$53,INDEX(T_Equipos[Grupo],MATCH(BD39,T_Equipos[NombreEquipo],0))))</f>
        <v>1</v>
      </c>
      <c r="DH39" s="16">
        <f ca="1">DA39+COUNTIFS(DB$6:DB$53,DB39,DG$6:DG$53,"&lt;"&amp;DG39,$BC$6:$BC$53,INDEX(T_Equipos[Grupo],MATCH(BD39,T_Equipos[NombreEquipo],0)))</f>
        <v>2</v>
      </c>
      <c r="DI39" s="16"/>
      <c r="DJ39" s="16">
        <f t="shared" ca="1" si="38"/>
        <v>1</v>
      </c>
      <c r="DK39" s="16">
        <f t="shared" ca="1" si="39"/>
        <v>0</v>
      </c>
      <c r="DL39" s="16">
        <f t="shared" ca="1" si="40"/>
        <v>1</v>
      </c>
      <c r="DM39" s="16" t="str">
        <f t="shared" ca="1" si="46"/>
        <v>1.1</v>
      </c>
      <c r="DN39" s="16" cm="1">
        <f t="array" aca="1" ref="DN39" ca="1">OFFSET(Horarios!$P$3,DJ39-1,0,DL39,1)</f>
        <v>1</v>
      </c>
      <c r="DO39" s="16"/>
      <c r="DP39" s="16" t="s">
        <v>686</v>
      </c>
      <c r="DQ39" s="16" t="str">
        <f t="shared" ca="1" si="47"/>
        <v>Senegal</v>
      </c>
    </row>
    <row r="40" spans="1:121" ht="16" customHeight="1" x14ac:dyDescent="0.2">
      <c r="A40" s="16" t="str">
        <f ca="1">+Equipos!B21</f>
        <v>Ecuador</v>
      </c>
      <c r="B40" s="16"/>
      <c r="C40" s="16"/>
      <c r="D40" s="16" t="str">
        <f t="shared" si="111"/>
        <v>Pendiente</v>
      </c>
      <c r="E40" s="16" t="str">
        <f t="shared" si="112"/>
        <v>-</v>
      </c>
      <c r="F40" s="16" t="str">
        <f t="shared" si="113"/>
        <v>-</v>
      </c>
      <c r="G40" s="16"/>
      <c r="H40" s="16" t="str">
        <f t="shared" si="114"/>
        <v>-</v>
      </c>
      <c r="I40" s="16" t="str">
        <f t="shared" si="115"/>
        <v>-</v>
      </c>
      <c r="J40" s="16"/>
      <c r="K40" s="16" t="str">
        <f t="shared" si="116"/>
        <v>-</v>
      </c>
      <c r="L40" s="16" t="str">
        <f t="shared" si="117"/>
        <v>-</v>
      </c>
      <c r="M40" s="16"/>
      <c r="N40" s="16" t="str">
        <f t="shared" si="118"/>
        <v>-</v>
      </c>
      <c r="O40" s="16" t="str">
        <f t="shared" si="119"/>
        <v>-</v>
      </c>
      <c r="P40" s="16"/>
      <c r="Q40" s="16" t="str">
        <f t="shared" si="120"/>
        <v>-</v>
      </c>
      <c r="R40" s="16" t="str">
        <f t="shared" si="121"/>
        <v>-</v>
      </c>
      <c r="S40" s="16"/>
      <c r="T40" s="16" t="str">
        <f t="shared" si="122"/>
        <v>-</v>
      </c>
      <c r="U40" s="16" t="str">
        <f t="shared" si="123"/>
        <v>-</v>
      </c>
      <c r="V40" s="17"/>
      <c r="W40" s="683"/>
      <c r="X40" s="24">
        <f ca="1">Horarios!C40</f>
        <v>46198.916666666664</v>
      </c>
      <c r="Y40" s="25">
        <f ca="1">Horarios!C40</f>
        <v>46198.916666666664</v>
      </c>
      <c r="Z40" s="26" t="str">
        <f>$Z$8</f>
        <v>J3</v>
      </c>
      <c r="AA40" s="27" t="str">
        <f ca="1">A38</f>
        <v>Curazao</v>
      </c>
      <c r="AB40" s="49" t="str" cm="1">
        <f t="array" aca="1" ref="AB40" ca="1">Ver_flag_local</f>
        <v>🇨🇼</v>
      </c>
      <c r="AC40" s="50"/>
      <c r="AD40" s="51"/>
      <c r="AE40" s="595" t="str" cm="1">
        <f t="array" aca="1" ref="AE40" ca="1">Ver_flag_visit</f>
        <v>🇨🇮</v>
      </c>
      <c r="AF40" s="32" t="str">
        <f ca="1">A39</f>
        <v>Costa de Marfil</v>
      </c>
      <c r="AG40" s="323">
        <f t="shared" si="124"/>
        <v>0</v>
      </c>
      <c r="AH40" s="195">
        <v>55</v>
      </c>
      <c r="AI40" s="181" t="str">
        <f t="shared" si="128"/>
        <v>3E</v>
      </c>
      <c r="AJ40" s="42">
        <v>3</v>
      </c>
      <c r="AK40" s="602" t="str" cm="1">
        <f t="array" aca="1" ref="AK40" ca="1">Ver_flag_visit</f>
        <v>🇨🇮</v>
      </c>
      <c r="AL40" s="37" t="str">
        <f ca="1">IFERROR(INDEX($BD$6:$BD$53,MATCH(AI40,$BN$6:$BN$53,0)),"")</f>
        <v>Costa de Marfil</v>
      </c>
      <c r="AM40" s="38">
        <f t="shared" ca="1" si="127"/>
        <v>0</v>
      </c>
      <c r="AN40" s="39">
        <f t="shared" ca="1" si="127"/>
        <v>0</v>
      </c>
      <c r="AO40" s="39">
        <f t="shared" ca="1" si="127"/>
        <v>0</v>
      </c>
      <c r="AP40" s="39">
        <f t="shared" ca="1" si="127"/>
        <v>0</v>
      </c>
      <c r="AQ40" s="39">
        <f t="shared" ca="1" si="127"/>
        <v>0</v>
      </c>
      <c r="AR40" s="39">
        <f t="shared" ca="1" si="127"/>
        <v>0</v>
      </c>
      <c r="AS40" s="39">
        <f t="shared" ca="1" si="127"/>
        <v>0</v>
      </c>
      <c r="AT40" s="43">
        <f t="shared" ca="1" si="127"/>
        <v>0</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0</v>
      </c>
      <c r="BG40" s="16">
        <f t="shared" ca="1" si="17"/>
        <v>0</v>
      </c>
      <c r="BH40" s="16">
        <f t="shared" ca="1" si="18"/>
        <v>0</v>
      </c>
      <c r="BI40" s="16">
        <f t="shared" ca="1" si="19"/>
        <v>0</v>
      </c>
      <c r="BJ40" s="16">
        <f t="shared" ca="1" si="20"/>
        <v>0</v>
      </c>
      <c r="BK40" s="16">
        <f t="shared" ca="1" si="21"/>
        <v>0</v>
      </c>
      <c r="BL40" s="16">
        <f t="shared" ca="1" si="42"/>
        <v>0</v>
      </c>
      <c r="BM40" s="16" t="str">
        <f t="shared" ca="1" si="22"/>
        <v>3I</v>
      </c>
      <c r="BN40" s="16" t="str">
        <f t="shared" ca="1" si="23"/>
        <v>3I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1</v>
      </c>
      <c r="BT40" s="16" t="str">
        <f ca="1">IF(COUNTIFS($BS$6:$BS$53,BS40,$BC$6:$BC$53,INDEX(T_Equipos[Grupo],MATCH(BD40,T_Equipos[NombreEquipo],0)))=1,"-","P."&amp;BS40&amp;" ("&amp;COUNTIFS($BS$6:$BS$53,BS40,$BC$6:$BC$53,INDEX(T_Equipos[Grupo],MATCH(BD40,T_Equipos[NombreEquipo],0)))&amp;")")</f>
        <v>P.1 (4)</v>
      </c>
      <c r="BU40" s="16">
        <f t="shared" ca="1" si="24"/>
        <v>0</v>
      </c>
      <c r="BV40" s="16">
        <f t="shared" ca="1" si="25"/>
        <v>0</v>
      </c>
      <c r="BW40" s="16">
        <f t="shared" ca="1" si="26"/>
        <v>0</v>
      </c>
      <c r="BX40" s="16">
        <f t="shared" ca="1" si="48"/>
        <v>0</v>
      </c>
      <c r="BY40" s="16">
        <f ca="1">BS40+COUNTIFS($BT$6:$BT$53,BT40,$BX$6:BX$53,"&gt;"&amp;BX40,$BC$6:$BC$53,INDEX(T_Equipos[Grupo],MATCH(BD40,T_Equipos[NombreEquipo],0)))</f>
        <v>1</v>
      </c>
      <c r="BZ40" s="16" t="str">
        <f ca="1">IF(COUNTIFS($BY$6:$BY$53,BY40,$BC$6:$BC$53,INDEX(T_Equipos[Grupo],MATCH(BD40,T_Equipos[NombreEquipo],0)))=1,"-","P."&amp;BY40&amp;" ("&amp;COUNTIFS($BY$6:$BY$53,BY40,$BC$6:$BC$53,INDEX(T_Equipos[Grupo],MATCH(BD40,T_Equipos[NombreEquipo],0)))&amp;")")</f>
        <v>P.1 (4)</v>
      </c>
      <c r="CA40" s="16">
        <f t="shared" ca="1" si="27"/>
        <v>0</v>
      </c>
      <c r="CB40" s="16">
        <f t="shared" ca="1" si="28"/>
        <v>0</v>
      </c>
      <c r="CC40" s="16">
        <f t="shared" ca="1" si="49"/>
        <v>0</v>
      </c>
      <c r="CD40" s="16">
        <f ca="1">BY40+COUNTIFS($BZ$6:$BZ$53,BZ40,$CC$6:CC$53,"&gt;"&amp;CC40,$BC$6:$BC$53,INDEX(T_Equipos[Grupo],MATCH(BD40,T_Equipos[NombreEquipo],0)))</f>
        <v>1</v>
      </c>
      <c r="CE40" s="16" t="str">
        <f ca="1">IF(COUNTIFS($CD$6:$CD$53,CD40,$BC$6:$BC$53,INDEX(T_Equipos[Grupo],MATCH(BD40,T_Equipos[NombreEquipo],0)))=1,"-","P."&amp;CD40&amp;" ("&amp;COUNTIFS($CD$6:$CD$53,CD40,$BC$6:$BC$53,INDEX(T_Equipos[Grupo],MATCH(BD40,T_Equipos[NombreEquipo],0)))&amp;")")</f>
        <v>P.1 (4)</v>
      </c>
      <c r="CF40" s="16">
        <f t="shared" ca="1" si="29"/>
        <v>0</v>
      </c>
      <c r="CG40" s="16">
        <f ca="1">CD40+COUNTIFS($CE$6:$CE$53,CE40,$CF$6:CF$53,"&gt;"&amp;CF40,$BC$6:$BC$53,INDEX(T_Equipos[Grupo],MATCH(BD40,T_Equipos[NombreEquipo],0)))</f>
        <v>1</v>
      </c>
      <c r="CH40" s="16" t="str">
        <f ca="1">IF(COUNTIFS($CG$6:$CG$53,CG40,$BC$6:$BC$53,INDEX(T_Equipos[Grupo],MATCH(BD40,T_Equipos[NombreEquipo],0)))=1,"-","P."&amp;CG40&amp;" ("&amp;COUNTIFS($CG$6:$CG$53,CG40,$BC$6:$BC$53,INDEX(T_Equipos[Grupo],MATCH(BD40,T_Equipos[NombreEquipo],0)))&amp;")")</f>
        <v>P.1 (4)</v>
      </c>
      <c r="CI40" s="16">
        <f t="shared" ca="1" si="30"/>
        <v>0</v>
      </c>
      <c r="CJ40" s="16">
        <f t="shared" ca="1" si="31"/>
        <v>0</v>
      </c>
      <c r="CK40" s="16">
        <f t="shared" ca="1" si="32"/>
        <v>0</v>
      </c>
      <c r="CL40" s="16">
        <f t="shared" ca="1" si="50"/>
        <v>0</v>
      </c>
      <c r="CM40" s="16">
        <f ca="1">CG40+COUNTIFS($CH$6:$CH$53,CH40,$CL$6:CL$53,"&gt;"&amp;CL40,$BC$6:$BC$53,INDEX(T_Equipos[Grupo],MATCH(BD40,T_Equipos[NombreEquipo],0)))</f>
        <v>1</v>
      </c>
      <c r="CN40" s="16" t="str">
        <f ca="1">IF(COUNTIFS($CM$6:$CM$53,CM40,$BC$6:$BC$53,INDEX(T_Equipos[Grupo],MATCH(BD40,T_Equipos[NombreEquipo],0)))=1,"-","P."&amp;CM40&amp;" ("&amp;COUNTIFS($CM$6:$CM$53,CM40,$BC$6:$BC$53,INDEX(T_Equipos[Grupo],MATCH(BD40,T_Equipos[NombreEquipo],0)))&amp;")")</f>
        <v>P.1 (4)</v>
      </c>
      <c r="CO40" s="16">
        <f t="shared" ca="1" si="33"/>
        <v>0</v>
      </c>
      <c r="CP40" s="16">
        <f t="shared" ca="1" si="34"/>
        <v>0</v>
      </c>
      <c r="CQ40" s="16">
        <f t="shared" ca="1" si="51"/>
        <v>0</v>
      </c>
      <c r="CR40" s="16">
        <f ca="1">CM40+COUNTIFS($CN$6:$CN$53,CN40,$CQ$6:CQ$53,"&gt;"&amp;CQ40,$BC$6:$BC$53,INDEX(T_Equipos[Grupo],MATCH(BD40,T_Equipos[NombreEquipo],0)))</f>
        <v>1</v>
      </c>
      <c r="CS40" s="16" t="str">
        <f ca="1">IF(COUNTIFS($CR$6:$CR$53,CR40,$BC$6:$BC$53,INDEX(T_Equipos[Grupo],MATCH(BD40,T_Equipos[NombreEquipo],0)))=1,"-","P."&amp;CR40&amp;" ("&amp;COUNTIFS($CR$6:$CR$53,CR40,$BC$6:$BC$53,INDEX(T_Equipos[Grupo],MATCH(BD40,T_Equipos[NombreEquipo],0)))&amp;")")</f>
        <v>P.1 (4)</v>
      </c>
      <c r="CT40" s="16">
        <f t="shared" ca="1" si="35"/>
        <v>0</v>
      </c>
      <c r="CU40" s="16">
        <f ca="1">CR40+COUNTIFS($CS$6:$CS$53,CS40,$CT$6:CT$53,"&gt;"&amp;CT40,$BC$6:$BC$53,INDEX(T_Equipos[Grupo],MATCH(BD40,T_Equipos[NombreEquipo],0)))</f>
        <v>1</v>
      </c>
      <c r="CV40" s="16" t="str">
        <f ca="1">IF(COUNTIFS($CU$6:$CU$53,CU40,$BC$6:$BC$53,INDEX(T_Equipos[Grupo],MATCH(BD40,T_Equipos[NombreEquipo],0)))=1,"-","P."&amp;CU40&amp;" ("&amp;COUNTIFS($CU$6:$CU$53,CU40,$BC$6:$BC$53,INDEX(T_Equipos[Grupo],MATCH(BD40,T_Equipos[NombreEquipo],0)))&amp;")")</f>
        <v>P.1 (4)</v>
      </c>
      <c r="CW40" s="16">
        <f t="shared" ca="1" si="36"/>
        <v>0</v>
      </c>
      <c r="CX40" s="16">
        <f ca="1">CU40+COUNTIFS($CV$6:$CV$53,CV40,$CW$6:CW$53,"&gt;"&amp;CW40,$BC$6:$BC$53,INDEX(T_Equipos[Grupo],MATCH(BD40,T_Equipos[NombreEquipo],0)))</f>
        <v>1</v>
      </c>
      <c r="CY40" s="16" t="str">
        <f ca="1">IF(COUNTIFS($CX$6:$CX$53,CX40,$BC$6:$BC$53,INDEX(T_Equipos[Grupo],MATCH(BD40,T_Equipos[NombreEquipo],0)))=1,"-","P."&amp;CX40&amp;" ("&amp;COUNTIFS($CX$6:$CX$53,CX40,$BC$6:$BC$53,INDEX(T_Equipos[Grupo],MATCH(BD40,T_Equipos[NombreEquipo],0)))&amp;")")</f>
        <v>P.1 (4)</v>
      </c>
      <c r="CZ40" s="16">
        <f t="shared" ca="1" si="37"/>
        <v>0</v>
      </c>
      <c r="DA40" s="16">
        <f ca="1">CX40+COUNTIFS($CY$6:$CY$53,CY40,$CZ$6:CZ$53,"&gt;"&amp;CZ40,$BC$6:$BC$53,INDEX(T_Equipos[Grupo],MATCH(BD40,T_Equipos[NombreEquipo],0)))</f>
        <v>1</v>
      </c>
      <c r="DB40" s="16" t="str">
        <f ca="1">IF(COUNTIFS($DA$6:$DA$53,DA40,$BC$6:$BC$53,INDEX(T_Equipos[Grupo],MATCH(BD40,T_Equipos[NombreEquipo],0)))=1,"-","P."&amp;DA40&amp;" ("&amp;COUNTIFS($DA$6:$DA$53,DA40,$BC$6:$BC$53,INDEX(T_Equipos[Grupo],MATCH(BD40,T_Equipos[NombreEquipo],0)))&amp;")")</f>
        <v>P.1 (4)</v>
      </c>
      <c r="DC40" s="16">
        <f ca="1">IF(DB40="-","-",COUNTIFS(T_Equipos[Rank],"&lt;"&amp;INDEX(T_Equipos[Rank],MATCH(BD40,T_Equipos[NombreEquipo],0)),$BC$6:$BC$53,INDEX(T_Equipos[Grupo],MATCH(BD40,T_Equipos[NombreEquipo],0)))+1)</f>
        <v>3</v>
      </c>
      <c r="DD40" s="16">
        <f ca="1">DA40+COUNTIFS($DB$6:$DB$53,DB40,$DC$6:DC$53,"&lt;"&amp;DC40,$BC$6:$BC$53,INDEX(T_Equipos[Grupo],MATCH(BD40,T_Equipos[NombreEquipo],0)))</f>
        <v>3</v>
      </c>
      <c r="DE40" s="16"/>
      <c r="DF40" s="16">
        <f t="shared" ca="1" si="52"/>
        <v>3</v>
      </c>
      <c r="DG40" s="16">
        <f ca="1">IF(DB40="-","-",COUNTIFS(DF$6:DF$53,"&lt;"&amp;DF40,$BC$6:$BC$53,INDEX(T_Equipos[Grupo],MATCH(BD40,T_Equipos[NombreEquipo],0))))</f>
        <v>2</v>
      </c>
      <c r="DH40" s="16">
        <f ca="1">DA40+COUNTIFS(DB$6:DB$53,DB40,DG$6:DG$53,"&lt;"&amp;DG40,$BC$6:$BC$53,INDEX(T_Equipos[Grupo],MATCH(BD40,T_Equipos[NombreEquipo],0)))</f>
        <v>3</v>
      </c>
      <c r="DI40" s="16"/>
      <c r="DJ40" s="16">
        <f t="shared" ca="1" si="38"/>
        <v>1</v>
      </c>
      <c r="DK40" s="16">
        <f t="shared" ca="1" si="39"/>
        <v>0</v>
      </c>
      <c r="DL40" s="16">
        <f t="shared" ca="1" si="40"/>
        <v>1</v>
      </c>
      <c r="DM40" s="16" t="str">
        <f t="shared" ca="1" si="46"/>
        <v>1.1</v>
      </c>
      <c r="DN40" s="16" cm="1">
        <f t="array" aca="1" ref="DN40" ca="1">OFFSET(Horarios!$P$3,DJ40-1,0,DL40,1)</f>
        <v>1</v>
      </c>
      <c r="DO40" s="16"/>
      <c r="DP40" s="16" t="s">
        <v>450</v>
      </c>
      <c r="DQ40" s="16" t="str">
        <f t="shared" ca="1" si="47"/>
        <v>Irak</v>
      </c>
    </row>
    <row r="41" spans="1:121" ht="16" customHeight="1" thickBot="1" x14ac:dyDescent="0.25">
      <c r="A41" s="16"/>
      <c r="B41" s="16"/>
      <c r="C41" s="16"/>
      <c r="D41" s="16" t="str">
        <f t="shared" si="111"/>
        <v>Pendiente</v>
      </c>
      <c r="E41" s="16" t="str">
        <f t="shared" si="112"/>
        <v>-</v>
      </c>
      <c r="F41" s="16" t="str">
        <f t="shared" si="113"/>
        <v>-</v>
      </c>
      <c r="G41" s="16"/>
      <c r="H41" s="16" t="str">
        <f t="shared" si="114"/>
        <v>-</v>
      </c>
      <c r="I41" s="16" t="str">
        <f t="shared" si="115"/>
        <v>-</v>
      </c>
      <c r="J41" s="16"/>
      <c r="K41" s="16" t="str">
        <f t="shared" si="116"/>
        <v>-</v>
      </c>
      <c r="L41" s="16" t="str">
        <f t="shared" si="117"/>
        <v>-</v>
      </c>
      <c r="M41" s="16"/>
      <c r="N41" s="16" t="str">
        <f t="shared" si="118"/>
        <v>-</v>
      </c>
      <c r="O41" s="16" t="str">
        <f t="shared" si="119"/>
        <v>-</v>
      </c>
      <c r="P41" s="16"/>
      <c r="Q41" s="16" t="str">
        <f t="shared" si="120"/>
        <v>-</v>
      </c>
      <c r="R41" s="16" t="str">
        <f t="shared" si="121"/>
        <v>-</v>
      </c>
      <c r="S41" s="16"/>
      <c r="T41" s="16" t="str">
        <f t="shared" si="122"/>
        <v>-</v>
      </c>
      <c r="U41" s="16" t="str">
        <f t="shared" si="123"/>
        <v>-</v>
      </c>
      <c r="V41" s="17"/>
      <c r="W41" s="684"/>
      <c r="X41" s="28">
        <f ca="1">Horarios!C41</f>
        <v>46198.916666666664</v>
      </c>
      <c r="Y41" s="29">
        <f ca="1">Horarios!C41</f>
        <v>46198.916666666664</v>
      </c>
      <c r="Z41" s="30" t="str">
        <f>$Z$8</f>
        <v>J3</v>
      </c>
      <c r="AA41" s="31" t="str">
        <f ca="1">A40</f>
        <v>Ecuador</v>
      </c>
      <c r="AB41" s="52" t="str" cm="1">
        <f t="array" aca="1" ref="AB41" ca="1">Ver_flag_local</f>
        <v>🇪🇨</v>
      </c>
      <c r="AC41" s="53"/>
      <c r="AD41" s="54"/>
      <c r="AE41" s="596" t="str" cm="1">
        <f t="array" aca="1" ref="AE41" ca="1">Ver_flag_visit</f>
        <v>🇩🇪</v>
      </c>
      <c r="AF41" s="33" t="str">
        <f ca="1">A37</f>
        <v>Alemania</v>
      </c>
      <c r="AG41" s="323">
        <f t="shared" si="124"/>
        <v>0</v>
      </c>
      <c r="AH41" s="195">
        <v>56</v>
      </c>
      <c r="AI41" s="181" t="str">
        <f t="shared" si="128"/>
        <v>4E</v>
      </c>
      <c r="AJ41" s="44">
        <v>4</v>
      </c>
      <c r="AK41" s="604" t="str" cm="1">
        <f t="array" aca="1" ref="AK41" ca="1">Ver_flag_visit</f>
        <v>🇪🇨</v>
      </c>
      <c r="AL41" s="45" t="str">
        <f ca="1">IFERROR(INDEX($BD$6:$BD$53,MATCH(AI41,$BN$6:$BN$53,0)),"")</f>
        <v>Ecuador</v>
      </c>
      <c r="AM41" s="46">
        <f t="shared" ca="1" si="127"/>
        <v>0</v>
      </c>
      <c r="AN41" s="47">
        <f t="shared" ca="1" si="127"/>
        <v>0</v>
      </c>
      <c r="AO41" s="47">
        <f t="shared" ca="1" si="127"/>
        <v>0</v>
      </c>
      <c r="AP41" s="47">
        <f t="shared" ca="1" si="127"/>
        <v>0</v>
      </c>
      <c r="AQ41" s="47">
        <f t="shared" ca="1" si="127"/>
        <v>0</v>
      </c>
      <c r="AR41" s="47">
        <f t="shared" ca="1" si="127"/>
        <v>0</v>
      </c>
      <c r="AS41" s="47">
        <f t="shared" ca="1" si="127"/>
        <v>0</v>
      </c>
      <c r="AT41" s="48">
        <f t="shared" ca="1" si="127"/>
        <v>0</v>
      </c>
      <c r="AU41" s="330">
        <f ca="1">INDEX($DL$6:$DL$53,MATCH(AI41,$DP$6:$DP$53,0))</f>
        <v>1</v>
      </c>
      <c r="AV41" s="182" t="str">
        <f ca="1">INDEX($BD$6:$BD$53,MATCH(AI41,$BM$6:$BM$53,0))</f>
        <v>Ecuador</v>
      </c>
      <c r="AW41" s="210"/>
      <c r="AX41" s="171"/>
      <c r="AY41" s="205" t="str">
        <f ca="1">+A40</f>
        <v>Ecuador</v>
      </c>
      <c r="AZ41" s="206"/>
      <c r="BA41" s="176"/>
      <c r="BC41" s="16" t="str">
        <f ca="1">+INDEX(T_Equipos[Grupo],MATCH(WORLDCUP!BD41,T_Equipos[NombreEquipo],0))</f>
        <v>I</v>
      </c>
      <c r="BD41" s="16" t="str">
        <f ca="1">+Equipos!B37</f>
        <v>Noruega</v>
      </c>
      <c r="BE41" s="16">
        <f t="shared" ca="1" si="16"/>
        <v>0</v>
      </c>
      <c r="BF41" s="16">
        <f t="shared" ca="1" si="41"/>
        <v>0</v>
      </c>
      <c r="BG41" s="16">
        <f t="shared" ca="1" si="17"/>
        <v>0</v>
      </c>
      <c r="BH41" s="16">
        <f t="shared" ca="1" si="18"/>
        <v>0</v>
      </c>
      <c r="BI41" s="16">
        <f t="shared" ca="1" si="19"/>
        <v>0</v>
      </c>
      <c r="BJ41" s="16">
        <f t="shared" ca="1" si="20"/>
        <v>0</v>
      </c>
      <c r="BK41" s="16">
        <f t="shared" ca="1" si="21"/>
        <v>0</v>
      </c>
      <c r="BL41" s="16">
        <f t="shared" ca="1" si="42"/>
        <v>0</v>
      </c>
      <c r="BM41" s="16" t="str">
        <f t="shared" ca="1" si="22"/>
        <v>4I</v>
      </c>
      <c r="BN41" s="16" t="str">
        <f t="shared" ca="1" si="23"/>
        <v>4I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0</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(4)</v>
      </c>
      <c r="BU41" s="16">
        <f t="shared" ca="1" si="24"/>
        <v>0</v>
      </c>
      <c r="BV41" s="16">
        <f t="shared" ca="1" si="25"/>
        <v>0</v>
      </c>
      <c r="BW41" s="16">
        <f t="shared" ca="1" si="26"/>
        <v>0</v>
      </c>
      <c r="BX41" s="16">
        <f t="shared" ca="1" si="48"/>
        <v>0</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(4)</v>
      </c>
      <c r="CA41" s="16">
        <f t="shared" ca="1" si="27"/>
        <v>0</v>
      </c>
      <c r="CB41" s="16">
        <f t="shared" ca="1" si="28"/>
        <v>0</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(4)</v>
      </c>
      <c r="CF41" s="16">
        <f t="shared" ca="1" si="29"/>
        <v>0</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(4)</v>
      </c>
      <c r="CI41" s="16">
        <f t="shared" ca="1" si="30"/>
        <v>0</v>
      </c>
      <c r="CJ41" s="16">
        <f t="shared" ca="1" si="31"/>
        <v>0</v>
      </c>
      <c r="CK41" s="16">
        <f t="shared" ca="1" si="32"/>
        <v>0</v>
      </c>
      <c r="CL41" s="16">
        <f t="shared" ca="1" si="50"/>
        <v>0</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(4)</v>
      </c>
      <c r="CO41" s="16">
        <f t="shared" ca="1" si="33"/>
        <v>0</v>
      </c>
      <c r="CP41" s="16">
        <f t="shared" ca="1" si="34"/>
        <v>0</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(4)</v>
      </c>
      <c r="CT41" s="16">
        <f t="shared" ca="1" si="35"/>
        <v>0</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(4)</v>
      </c>
      <c r="CW41" s="16">
        <f t="shared" ca="1" si="36"/>
        <v>0</v>
      </c>
      <c r="CX41" s="16">
        <f ca="1">CU41+COUNTIFS($CV$6:$CV$53,CV41,$CW$6:CW$53,"&gt;"&amp;CW41,$BC$6:$BC$53,INDEX(T_Equipos[Grupo],MATCH(BD41,T_Equipos[NombreEquipo],0)))</f>
        <v>1</v>
      </c>
      <c r="CY41" s="16" t="str">
        <f ca="1">IF(COUNTIFS($CX$6:$CX$53,CX41,$BC$6:$BC$53,INDEX(T_Equipos[Grupo],MATCH(BD41,T_Equipos[NombreEquipo],0)))=1,"-","P."&amp;CX41&amp;" ("&amp;COUNTIFS($CX$6:$CX$53,CX41,$BC$6:$BC$53,INDEX(T_Equipos[Grupo],MATCH(BD41,T_Equipos[NombreEquipo],0)))&amp;")")</f>
        <v>P.1 (4)</v>
      </c>
      <c r="CZ41" s="16">
        <f t="shared" ca="1" si="37"/>
        <v>0</v>
      </c>
      <c r="DA41" s="16">
        <f ca="1">CX41+COUNTIFS($CY$6:$CY$53,CY41,$CZ$6:CZ$53,"&gt;"&amp;CZ41,$BC$6:$BC$53,INDEX(T_Equipos[Grupo],MATCH(BD41,T_Equipos[NombreEquipo],0)))</f>
        <v>1</v>
      </c>
      <c r="DB41" s="16" t="str">
        <f ca="1">IF(COUNTIFS($DA$6:$DA$53,DA41,$BC$6:$BC$53,INDEX(T_Equipos[Grupo],MATCH(BD41,T_Equipos[NombreEquipo],0)))=1,"-","P."&amp;DA41&amp;" ("&amp;COUNTIFS($DA$6:$DA$53,DA41,$BC$6:$BC$53,INDEX(T_Equipos[Grupo],MATCH(BD41,T_Equipos[NombreEquipo],0)))&amp;")")</f>
        <v>P.1 (4)</v>
      </c>
      <c r="DC41" s="16">
        <f ca="1">IF(DB41="-","-",COUNTIFS(T_Equipos[Rank],"&lt;"&amp;INDEX(T_Equipos[Rank],MATCH(BD41,T_Equipos[NombreEquipo],0)),$BC$6:$BC$53,INDEX(T_Equipos[Grupo],MATCH(BD41,T_Equipos[NombreEquipo],0)))+1)</f>
        <v>4</v>
      </c>
      <c r="DD41" s="16">
        <f ca="1">DA41+COUNTIFS($DB$6:$DB$53,DB41,$DC$6:DC$53,"&lt;"&amp;DC41,$BC$6:$BC$53,INDEX(T_Equipos[Grupo],MATCH(BD41,T_Equipos[NombreEquipo],0)))</f>
        <v>4</v>
      </c>
      <c r="DE41" s="16"/>
      <c r="DF41" s="16">
        <f t="shared" ca="1" si="52"/>
        <v>4</v>
      </c>
      <c r="DG41" s="16">
        <f ca="1">IF(DB41="-","-",COUNTIFS(DF$6:DF$53,"&lt;"&amp;DF41,$BC$6:$BC$53,INDEX(T_Equipos[Grupo],MATCH(BD41,T_Equipos[NombreEquipo],0))))</f>
        <v>3</v>
      </c>
      <c r="DH41" s="16">
        <f ca="1">DA41+COUNTIFS(DB$6:DB$53,DB41,DG$6:DG$53,"&lt;"&amp;DG41,$BC$6:$BC$53,INDEX(T_Equipos[Grupo],MATCH(BD41,T_Equipos[NombreEquipo],0)))</f>
        <v>4</v>
      </c>
      <c r="DI41" s="16"/>
      <c r="DJ41" s="16">
        <f t="shared" ca="1" si="38"/>
        <v>1</v>
      </c>
      <c r="DK41" s="16">
        <f t="shared" ca="1" si="39"/>
        <v>0</v>
      </c>
      <c r="DL41" s="16">
        <f t="shared" ca="1" si="40"/>
        <v>1</v>
      </c>
      <c r="DM41" s="16" t="str">
        <f t="shared" ca="1" si="46"/>
        <v>1.1</v>
      </c>
      <c r="DN41" s="16" cm="1">
        <f t="array" aca="1" ref="DN41" ca="1">OFFSET(Horarios!$P$3,DJ41-1,0,DL41,1)</f>
        <v>1</v>
      </c>
      <c r="DO41" s="16"/>
      <c r="DP41" s="16" t="s">
        <v>687</v>
      </c>
      <c r="DQ41" s="16" t="str">
        <f t="shared" ca="1" si="47"/>
        <v>Noruega</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0</v>
      </c>
      <c r="BF42" s="16">
        <f t="shared" ca="1" si="41"/>
        <v>0</v>
      </c>
      <c r="BG42" s="16">
        <f t="shared" ca="1" si="17"/>
        <v>0</v>
      </c>
      <c r="BH42" s="16">
        <f t="shared" ca="1" si="18"/>
        <v>0</v>
      </c>
      <c r="BI42" s="16">
        <f t="shared" ca="1" si="19"/>
        <v>0</v>
      </c>
      <c r="BJ42" s="16">
        <f t="shared" ca="1" si="20"/>
        <v>0</v>
      </c>
      <c r="BK42" s="16">
        <f t="shared" ca="1" si="21"/>
        <v>0</v>
      </c>
      <c r="BL42" s="16">
        <f t="shared" ca="1" si="42"/>
        <v>0</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0</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(4)</v>
      </c>
      <c r="BU42" s="16">
        <f t="shared" ca="1" si="24"/>
        <v>0</v>
      </c>
      <c r="BV42" s="16">
        <f t="shared" ca="1" si="25"/>
        <v>0</v>
      </c>
      <c r="BW42" s="16">
        <f t="shared" ca="1" si="26"/>
        <v>0</v>
      </c>
      <c r="BX42" s="16">
        <f t="shared" ca="1" si="48"/>
        <v>0</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(4)</v>
      </c>
      <c r="CA42" s="16">
        <f t="shared" ca="1" si="27"/>
        <v>0</v>
      </c>
      <c r="CB42" s="16">
        <f t="shared" ca="1" si="28"/>
        <v>0</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(4)</v>
      </c>
      <c r="CF42" s="16">
        <f t="shared" ca="1" si="29"/>
        <v>0</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(4)</v>
      </c>
      <c r="CI42" s="16">
        <f t="shared" ca="1" si="30"/>
        <v>0</v>
      </c>
      <c r="CJ42" s="16">
        <f t="shared" ca="1" si="31"/>
        <v>0</v>
      </c>
      <c r="CK42" s="16">
        <f t="shared" ca="1" si="32"/>
        <v>0</v>
      </c>
      <c r="CL42" s="16">
        <f t="shared" ca="1" si="50"/>
        <v>0</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(4)</v>
      </c>
      <c r="CO42" s="16">
        <f t="shared" ca="1" si="33"/>
        <v>0</v>
      </c>
      <c r="CP42" s="16">
        <f t="shared" ca="1" si="34"/>
        <v>0</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(4)</v>
      </c>
      <c r="CT42" s="16">
        <f t="shared" ca="1" si="35"/>
        <v>0</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(4)</v>
      </c>
      <c r="CW42" s="16">
        <f t="shared" ca="1" si="36"/>
        <v>0</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P.1 (4)</v>
      </c>
      <c r="CZ42" s="16">
        <f t="shared" ca="1" si="37"/>
        <v>0</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P.1 (4)</v>
      </c>
      <c r="DC42" s="16">
        <f ca="1">IF(DB42="-","-",COUNTIFS(T_Equipos[Rank],"&lt;"&amp;INDEX(T_Equipos[Rank],MATCH(BD42,T_Equipos[NombreEquipo],0)),$BC$6:$BC$53,INDEX(T_Equipos[Grupo],MATCH(BD42,T_Equipos[NombreEquipo],0)))+1)</f>
        <v>1</v>
      </c>
      <c r="DD42" s="16">
        <f ca="1">DA42+COUNTIFS($DB$6:$DB$53,DB42,$DC$6:DC$53,"&lt;"&amp;DC42,$BC$6:$BC$53,INDEX(T_Equipos[Grupo],MATCH(BD42,T_Equipos[NombreEquipo],0)))</f>
        <v>1</v>
      </c>
      <c r="DE42" s="16"/>
      <c r="DF42" s="16">
        <f t="shared" ca="1" si="52"/>
        <v>1</v>
      </c>
      <c r="DG42" s="16">
        <f ca="1">IF(DB42="-","-",COUNTIFS(DF$6:DF$53,"&lt;"&amp;DF42,$BC$6:$BC$53,INDEX(T_Equipos[Grupo],MATCH(BD42,T_Equipos[NombreEquipo],0))))</f>
        <v>0</v>
      </c>
      <c r="DH42" s="16">
        <f ca="1">DA42+COUNTIFS(DB$6:DB$53,DB42,DG$6:DG$53,"&lt;"&amp;DG42,$BC$6:$BC$53,INDEX(T_Equipos[Grupo],MATCH(BD42,T_Equipos[NombreEquipo],0)))</f>
        <v>1</v>
      </c>
      <c r="DI42" s="16"/>
      <c r="DJ42" s="16">
        <f t="shared" ca="1" si="38"/>
        <v>1</v>
      </c>
      <c r="DK42" s="16">
        <f t="shared" ca="1" si="39"/>
        <v>0</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0</v>
      </c>
      <c r="BF43" s="16">
        <f t="shared" ca="1" si="41"/>
        <v>0</v>
      </c>
      <c r="BG43" s="16">
        <f t="shared" ca="1" si="17"/>
        <v>0</v>
      </c>
      <c r="BH43" s="16">
        <f t="shared" ca="1" si="18"/>
        <v>0</v>
      </c>
      <c r="BI43" s="16">
        <f t="shared" ca="1" si="19"/>
        <v>0</v>
      </c>
      <c r="BJ43" s="16">
        <f t="shared" ca="1" si="20"/>
        <v>0</v>
      </c>
      <c r="BK43" s="16">
        <f t="shared" ca="1" si="21"/>
        <v>0</v>
      </c>
      <c r="BL43" s="16">
        <f t="shared" ca="1" si="42"/>
        <v>0</v>
      </c>
      <c r="BM43" s="16" t="str">
        <f t="shared" ca="1" si="22"/>
        <v>2J</v>
      </c>
      <c r="BN43" s="16" t="str">
        <f t="shared" ca="1" si="23"/>
        <v>2J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0</v>
      </c>
      <c r="BS43" s="16">
        <f ca="1">BP43+COUNTIFS($BQ$6:$BQ$53,BQ43,$BR$6:BR$53,"&gt;"&amp;BR43,$BC$6:$BC$53,INDEX(T_Equipos[Grupo],MATCH(BD43,T_Equipos[NombreEquipo],0)))</f>
        <v>1</v>
      </c>
      <c r="BT43" s="16" t="str">
        <f ca="1">IF(COUNTIFS($BS$6:$BS$53,BS43,$BC$6:$BC$53,INDEX(T_Equipos[Grupo],MATCH(BD43,T_Equipos[NombreEquipo],0)))=1,"-","P."&amp;BS43&amp;" ("&amp;COUNTIFS($BS$6:$BS$53,BS43,$BC$6:$BC$53,INDEX(T_Equipos[Grupo],MATCH(BD43,T_Equipos[NombreEquipo],0)))&amp;")")</f>
        <v>P.1 (4)</v>
      </c>
      <c r="BU43" s="16">
        <f t="shared" ca="1" si="24"/>
        <v>0</v>
      </c>
      <c r="BV43" s="16">
        <f t="shared" ca="1" si="25"/>
        <v>0</v>
      </c>
      <c r="BW43" s="16">
        <f t="shared" ca="1" si="26"/>
        <v>0</v>
      </c>
      <c r="BX43" s="16">
        <f t="shared" ca="1" si="48"/>
        <v>0</v>
      </c>
      <c r="BY43" s="16">
        <f ca="1">BS43+COUNTIFS($BT$6:$BT$53,BT43,$BX$6:BX$53,"&gt;"&amp;BX43,$BC$6:$BC$53,INDEX(T_Equipos[Grupo],MATCH(BD43,T_Equipos[NombreEquipo],0)))</f>
        <v>1</v>
      </c>
      <c r="BZ43" s="16" t="str">
        <f ca="1">IF(COUNTIFS($BY$6:$BY$53,BY43,$BC$6:$BC$53,INDEX(T_Equipos[Grupo],MATCH(BD43,T_Equipos[NombreEquipo],0)))=1,"-","P."&amp;BY43&amp;" ("&amp;COUNTIFS($BY$6:$BY$53,BY43,$BC$6:$BC$53,INDEX(T_Equipos[Grupo],MATCH(BD43,T_Equipos[NombreEquipo],0)))&amp;")")</f>
        <v>P.1 (4)</v>
      </c>
      <c r="CA43" s="16">
        <f t="shared" ca="1" si="27"/>
        <v>0</v>
      </c>
      <c r="CB43" s="16">
        <f t="shared" ca="1" si="28"/>
        <v>0</v>
      </c>
      <c r="CC43" s="16">
        <f t="shared" ca="1" si="49"/>
        <v>0</v>
      </c>
      <c r="CD43" s="16">
        <f ca="1">BY43+COUNTIFS($BZ$6:$BZ$53,BZ43,$CC$6:CC$53,"&gt;"&amp;CC43,$BC$6:$BC$53,INDEX(T_Equipos[Grupo],MATCH(BD43,T_Equipos[NombreEquipo],0)))</f>
        <v>1</v>
      </c>
      <c r="CE43" s="16" t="str">
        <f ca="1">IF(COUNTIFS($CD$6:$CD$53,CD43,$BC$6:$BC$53,INDEX(T_Equipos[Grupo],MATCH(BD43,T_Equipos[NombreEquipo],0)))=1,"-","P."&amp;CD43&amp;" ("&amp;COUNTIFS($CD$6:$CD$53,CD43,$BC$6:$BC$53,INDEX(T_Equipos[Grupo],MATCH(BD43,T_Equipos[NombreEquipo],0)))&amp;")")</f>
        <v>P.1 (4)</v>
      </c>
      <c r="CF43" s="16">
        <f t="shared" ca="1" si="29"/>
        <v>0</v>
      </c>
      <c r="CG43" s="16">
        <f ca="1">CD43+COUNTIFS($CE$6:$CE$53,CE43,$CF$6:CF$53,"&gt;"&amp;CF43,$BC$6:$BC$53,INDEX(T_Equipos[Grupo],MATCH(BD43,T_Equipos[NombreEquipo],0)))</f>
        <v>1</v>
      </c>
      <c r="CH43" s="16" t="str">
        <f ca="1">IF(COUNTIFS($CG$6:$CG$53,CG43,$BC$6:$BC$53,INDEX(T_Equipos[Grupo],MATCH(BD43,T_Equipos[NombreEquipo],0)))=1,"-","P."&amp;CG43&amp;" ("&amp;COUNTIFS($CG$6:$CG$53,CG43,$BC$6:$BC$53,INDEX(T_Equipos[Grupo],MATCH(BD43,T_Equipos[NombreEquipo],0)))&amp;")")</f>
        <v>P.1 (4)</v>
      </c>
      <c r="CI43" s="16">
        <f t="shared" ca="1" si="30"/>
        <v>0</v>
      </c>
      <c r="CJ43" s="16">
        <f t="shared" ca="1" si="31"/>
        <v>0</v>
      </c>
      <c r="CK43" s="16">
        <f t="shared" ca="1" si="32"/>
        <v>0</v>
      </c>
      <c r="CL43" s="16">
        <f t="shared" ca="1" si="50"/>
        <v>0</v>
      </c>
      <c r="CM43" s="16">
        <f ca="1">CG43+COUNTIFS($CH$6:$CH$53,CH43,$CL$6:CL$53,"&gt;"&amp;CL43,$BC$6:$BC$53,INDEX(T_Equipos[Grupo],MATCH(BD43,T_Equipos[NombreEquipo],0)))</f>
        <v>1</v>
      </c>
      <c r="CN43" s="16" t="str">
        <f ca="1">IF(COUNTIFS($CM$6:$CM$53,CM43,$BC$6:$BC$53,INDEX(T_Equipos[Grupo],MATCH(BD43,T_Equipos[NombreEquipo],0)))=1,"-","P."&amp;CM43&amp;" ("&amp;COUNTIFS($CM$6:$CM$53,CM43,$BC$6:$BC$53,INDEX(T_Equipos[Grupo],MATCH(BD43,T_Equipos[NombreEquipo],0)))&amp;")")</f>
        <v>P.1 (4)</v>
      </c>
      <c r="CO43" s="16">
        <f t="shared" ca="1" si="33"/>
        <v>0</v>
      </c>
      <c r="CP43" s="16">
        <f t="shared" ca="1" si="34"/>
        <v>0</v>
      </c>
      <c r="CQ43" s="16">
        <f t="shared" ca="1" si="51"/>
        <v>0</v>
      </c>
      <c r="CR43" s="16">
        <f ca="1">CM43+COUNTIFS($CN$6:$CN$53,CN43,$CQ$6:CQ$53,"&gt;"&amp;CQ43,$BC$6:$BC$53,INDEX(T_Equipos[Grupo],MATCH(BD43,T_Equipos[NombreEquipo],0)))</f>
        <v>1</v>
      </c>
      <c r="CS43" s="16" t="str">
        <f ca="1">IF(COUNTIFS($CR$6:$CR$53,CR43,$BC$6:$BC$53,INDEX(T_Equipos[Grupo],MATCH(BD43,T_Equipos[NombreEquipo],0)))=1,"-","P."&amp;CR43&amp;" ("&amp;COUNTIFS($CR$6:$CR$53,CR43,$BC$6:$BC$53,INDEX(T_Equipos[Grupo],MATCH(BD43,T_Equipos[NombreEquipo],0)))&amp;")")</f>
        <v>P.1 (4)</v>
      </c>
      <c r="CT43" s="16">
        <f t="shared" ca="1" si="35"/>
        <v>0</v>
      </c>
      <c r="CU43" s="16">
        <f ca="1">CR43+COUNTIFS($CS$6:$CS$53,CS43,$CT$6:CT$53,"&gt;"&amp;CT43,$BC$6:$BC$53,INDEX(T_Equipos[Grupo],MATCH(BD43,T_Equipos[NombreEquipo],0)))</f>
        <v>1</v>
      </c>
      <c r="CV43" s="16" t="str">
        <f ca="1">IF(COUNTIFS($CU$6:$CU$53,CU43,$BC$6:$BC$53,INDEX(T_Equipos[Grupo],MATCH(BD43,T_Equipos[NombreEquipo],0)))=1,"-","P."&amp;CU43&amp;" ("&amp;COUNTIFS($CU$6:$CU$53,CU43,$BC$6:$BC$53,INDEX(T_Equipos[Grupo],MATCH(BD43,T_Equipos[NombreEquipo],0)))&amp;")")</f>
        <v>P.1 (4)</v>
      </c>
      <c r="CW43" s="16">
        <f t="shared" ca="1" si="36"/>
        <v>0</v>
      </c>
      <c r="CX43" s="16">
        <f ca="1">CU43+COUNTIFS($CV$6:$CV$53,CV43,$CW$6:CW$53,"&gt;"&amp;CW43,$BC$6:$BC$53,INDEX(T_Equipos[Grupo],MATCH(BD43,T_Equipos[NombreEquipo],0)))</f>
        <v>1</v>
      </c>
      <c r="CY43" s="16" t="str">
        <f ca="1">IF(COUNTIFS($CX$6:$CX$53,CX43,$BC$6:$BC$53,INDEX(T_Equipos[Grupo],MATCH(BD43,T_Equipos[NombreEquipo],0)))=1,"-","P."&amp;CX43&amp;" ("&amp;COUNTIFS($CX$6:$CX$53,CX43,$BC$6:$BC$53,INDEX(T_Equipos[Grupo],MATCH(BD43,T_Equipos[NombreEquipo],0)))&amp;")")</f>
        <v>P.1 (4)</v>
      </c>
      <c r="CZ43" s="16">
        <f t="shared" ca="1" si="37"/>
        <v>0</v>
      </c>
      <c r="DA43" s="16">
        <f ca="1">CX43+COUNTIFS($CY$6:$CY$53,CY43,$CZ$6:CZ$53,"&gt;"&amp;CZ43,$BC$6:$BC$53,INDEX(T_Equipos[Grupo],MATCH(BD43,T_Equipos[NombreEquipo],0)))</f>
        <v>1</v>
      </c>
      <c r="DB43" s="16" t="str">
        <f ca="1">IF(COUNTIFS($DA$6:$DA$53,DA43,$BC$6:$BC$53,INDEX(T_Equipos[Grupo],MATCH(BD43,T_Equipos[NombreEquipo],0)))=1,"-","P."&amp;DA43&amp;" ("&amp;COUNTIFS($DA$6:$DA$53,DA43,$BC$6:$BC$53,INDEX(T_Equipos[Grupo],MATCH(BD43,T_Equipos[NombreEquipo],0)))&amp;")")</f>
        <v>P.1 (4)</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2</v>
      </c>
      <c r="DE43" s="16"/>
      <c r="DF43" s="16">
        <f t="shared" ca="1" si="52"/>
        <v>2</v>
      </c>
      <c r="DG43" s="16">
        <f ca="1">IF(DB43="-","-",COUNTIFS(DF$6:DF$53,"&lt;"&amp;DF43,$BC$6:$BC$53,INDEX(T_Equipos[Grupo],MATCH(BD43,T_Equipos[NombreEquipo],0))))</f>
        <v>1</v>
      </c>
      <c r="DH43" s="16">
        <f ca="1">DA43+COUNTIFS(DB$6:DB$53,DB43,DG$6:DG$53,"&lt;"&amp;DG43,$BC$6:$BC$53,INDEX(T_Equipos[Grupo],MATCH(BD43,T_Equipos[NombreEquipo],0)))</f>
        <v>2</v>
      </c>
      <c r="DI43" s="16"/>
      <c r="DJ43" s="16">
        <f t="shared" ca="1" si="38"/>
        <v>1</v>
      </c>
      <c r="DK43" s="16">
        <f t="shared" ca="1" si="39"/>
        <v>0</v>
      </c>
      <c r="DL43" s="16">
        <f t="shared" ca="1" si="40"/>
        <v>1</v>
      </c>
      <c r="DM43" s="16" t="str">
        <f t="shared" ca="1" si="46"/>
        <v>1.1</v>
      </c>
      <c r="DN43" s="16" cm="1">
        <f t="array" aca="1" ref="DN43" ca="1">OFFSET(Horarios!$P$3,DJ43-1,0,DL43,1)</f>
        <v>1</v>
      </c>
      <c r="DO43" s="16"/>
      <c r="DP43" s="16" t="s">
        <v>689</v>
      </c>
      <c r="DQ43" s="16" t="str">
        <f t="shared" ca="1" si="47"/>
        <v>Argelia</v>
      </c>
    </row>
    <row r="44" spans="1:121" ht="16" customHeight="1" thickBot="1" x14ac:dyDescent="0.25">
      <c r="A44" s="16" t="s">
        <v>32</v>
      </c>
      <c r="B44" s="16" t="s">
        <v>4</v>
      </c>
      <c r="C44" s="16">
        <f>COUNTIF(Equipos!$C$2:$C$49,WORLDCUP!B44)</f>
        <v>4</v>
      </c>
      <c r="D44" s="16" t="str">
        <f t="shared" ref="D44:D49" si="131">IF(OR(AC44="",AD44=""),"Pendiente",IF(AC44&gt;AD44,"Local",IF(AC44&lt;AD44,"Visitante","Empate")))</f>
        <v>Pendiente</v>
      </c>
      <c r="E44" s="16" t="str">
        <f t="shared" ref="E44:E49" si="132">IF(D44="Pendiente","-",INDEX($BT$6:$BT$53,MATCH($AA44,$BD$6:$BD$53,0)))</f>
        <v>-</v>
      </c>
      <c r="F44" s="16" t="str">
        <f t="shared" ref="F44:F49" si="133">IF(D44="Pendiente","-",INDEX($BT$6:$BT$53,MATCH($AF44,$BD$6:$BD$53,0)))</f>
        <v>-</v>
      </c>
      <c r="G44" s="16"/>
      <c r="H44" s="16" t="str">
        <f t="shared" ref="H44:H49" si="134">IF(D44="Pendiente","-",INDEX($BZ$6:$BZ$53,MATCH($AA44,$BD$6:$BD$53,0)))</f>
        <v>-</v>
      </c>
      <c r="I44" s="16" t="str">
        <f t="shared" ref="I44:I49" si="135">IF(D44="Pendiente","-",INDEX($BZ$6:$BZ$53,MATCH($AF44,$BD$6:$BD$53,0)))</f>
        <v>-</v>
      </c>
      <c r="J44" s="16"/>
      <c r="K44" s="16" t="str">
        <f t="shared" ref="K44:K49" si="136">IF(D44="Pendiente","-",INDEX($CE$6:$CE$53,MATCH($AA44,$BD$6:$BD$53,0)))</f>
        <v>-</v>
      </c>
      <c r="L44" s="16" t="str">
        <f t="shared" ref="L44:L49" si="137">IF(D44="Pendiente","-",INDEX($CE$6:$CE$53,MATCH($AF44,$BD$6:$BD$53,0)))</f>
        <v>-</v>
      </c>
      <c r="M44" s="16"/>
      <c r="N44" s="16" t="str">
        <f t="shared" ref="N44:N49" si="138">IF(D44="Pendiente","-",INDEX($CH$6:$CH$53,MATCH($AA44,$BD$6:$BD$53,0)))</f>
        <v>-</v>
      </c>
      <c r="O44" s="16" t="str">
        <f t="shared" ref="O44:O49" si="139">IF(D44="Pendiente","-",INDEX($CH$6:$CH$53,MATCH($AF44,$BD$6:$BD$53,0)))</f>
        <v>-</v>
      </c>
      <c r="P44" s="16"/>
      <c r="Q44" s="16" t="str">
        <f t="shared" ref="Q44:Q49" si="140">IF(D44="Pendiente","-",INDEX($CN$6:$CN$53,MATCH($AA44,$BD$6:$BD$53,0)))</f>
        <v>-</v>
      </c>
      <c r="R44" s="16" t="str">
        <f t="shared" ref="R44:R49" si="141">IF(D44="Pendiente","-",INDEX($CN$6:$CN$53,MATCH($AF44,$BD$6:$BD$53,0)))</f>
        <v>-</v>
      </c>
      <c r="S44" s="16"/>
      <c r="T44" s="16" t="str">
        <f t="shared" ref="T44:T49" si="142">IF(D44="Pendiente","-",INDEX($CS$6:$CS$53,MATCH($AA44,$BD$6:$BD$53,0)))</f>
        <v>-</v>
      </c>
      <c r="U44" s="16" t="str">
        <f t="shared" ref="U44:U49" si="143">IF(D44="Pendiente","-",INDEX($CS$6:$CS$53,MATCH($AF44,$BD$6:$BD$53,0)))</f>
        <v>-</v>
      </c>
      <c r="V44" s="17"/>
      <c r="W44" s="646" t="s">
        <v>4</v>
      </c>
      <c r="X44" s="24">
        <f ca="1">Horarios!C44</f>
        <v>46187.916666666664</v>
      </c>
      <c r="Y44" s="25">
        <f ca="1">Horarios!C44</f>
        <v>46187.916666666664</v>
      </c>
      <c r="Z44" s="26" t="str">
        <f>$Z$4</f>
        <v>J1</v>
      </c>
      <c r="AA44" s="27" t="str">
        <f ca="1">A45</f>
        <v>Países Bajos</v>
      </c>
      <c r="AB44" s="49" t="str" cm="1">
        <f t="array" aca="1" ref="AB44" ca="1">Ver_flag_local</f>
        <v>🇳🇱</v>
      </c>
      <c r="AC44" s="50"/>
      <c r="AD44" s="51"/>
      <c r="AE44" s="595" t="str" cm="1">
        <f t="array" aca="1" ref="AE44" ca="1">Ver_flag_visit</f>
        <v>🇯🇵</v>
      </c>
      <c r="AF44" s="32" t="str">
        <f ca="1">A46</f>
        <v>Japón</v>
      </c>
      <c r="AG44" s="323">
        <f t="shared" ref="AG44:AG49" si="144">IF(NOT(OR(ISBLANK(AC44),ISBLANK(AD44))),1,0)</f>
        <v>0</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0</v>
      </c>
      <c r="BF44" s="16">
        <f t="shared" ca="1" si="41"/>
        <v>0</v>
      </c>
      <c r="BG44" s="16">
        <f t="shared" ca="1" si="17"/>
        <v>0</v>
      </c>
      <c r="BH44" s="16">
        <f t="shared" ca="1" si="18"/>
        <v>0</v>
      </c>
      <c r="BI44" s="16">
        <f t="shared" ca="1" si="19"/>
        <v>0</v>
      </c>
      <c r="BJ44" s="16">
        <f t="shared" ca="1" si="20"/>
        <v>0</v>
      </c>
      <c r="BK44" s="16">
        <f t="shared" ca="1" si="21"/>
        <v>0</v>
      </c>
      <c r="BL44" s="16">
        <f t="shared" ca="1" si="42"/>
        <v>0</v>
      </c>
      <c r="BM44" s="16" t="str">
        <f t="shared" ca="1" si="22"/>
        <v>3J</v>
      </c>
      <c r="BN44" s="16" t="str">
        <f t="shared" ca="1" si="23"/>
        <v>3J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0</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(4)</v>
      </c>
      <c r="BU44" s="16">
        <f t="shared" ca="1" si="24"/>
        <v>0</v>
      </c>
      <c r="BV44" s="16">
        <f t="shared" ca="1" si="25"/>
        <v>0</v>
      </c>
      <c r="BW44" s="16">
        <f t="shared" ca="1" si="26"/>
        <v>0</v>
      </c>
      <c r="BX44" s="16">
        <f t="shared" ca="1" si="48"/>
        <v>0</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(4)</v>
      </c>
      <c r="CA44" s="16">
        <f t="shared" ca="1" si="27"/>
        <v>0</v>
      </c>
      <c r="CB44" s="16">
        <f t="shared" ca="1" si="28"/>
        <v>0</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(4)</v>
      </c>
      <c r="CF44" s="16">
        <f t="shared" ca="1" si="29"/>
        <v>0</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(4)</v>
      </c>
      <c r="CI44" s="16">
        <f t="shared" ca="1" si="30"/>
        <v>0</v>
      </c>
      <c r="CJ44" s="16">
        <f t="shared" ca="1" si="31"/>
        <v>0</v>
      </c>
      <c r="CK44" s="16">
        <f t="shared" ca="1" si="32"/>
        <v>0</v>
      </c>
      <c r="CL44" s="16">
        <f t="shared" ca="1" si="50"/>
        <v>0</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(4)</v>
      </c>
      <c r="CO44" s="16">
        <f t="shared" ca="1" si="33"/>
        <v>0</v>
      </c>
      <c r="CP44" s="16">
        <f t="shared" ca="1" si="34"/>
        <v>0</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(4)</v>
      </c>
      <c r="CT44" s="16">
        <f t="shared" ca="1" si="35"/>
        <v>0</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(4)</v>
      </c>
      <c r="CW44" s="16">
        <f t="shared" ca="1" si="36"/>
        <v>0</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P.1 (4)</v>
      </c>
      <c r="CZ44" s="16">
        <f t="shared" ca="1" si="37"/>
        <v>0</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P.1 (4)</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3</v>
      </c>
      <c r="DE44" s="16"/>
      <c r="DF44" s="16">
        <f t="shared" ca="1" si="52"/>
        <v>3</v>
      </c>
      <c r="DG44" s="16">
        <f ca="1">IF(DB44="-","-",COUNTIFS(DF$6:DF$53,"&lt;"&amp;DF44,$BC$6:$BC$53,INDEX(T_Equipos[Grupo],MATCH(BD44,T_Equipos[NombreEquipo],0))))</f>
        <v>2</v>
      </c>
      <c r="DH44" s="16">
        <f ca="1">DA44+COUNTIFS(DB$6:DB$53,DB44,DG$6:DG$53,"&lt;"&amp;DG44,$BC$6:$BC$53,INDEX(T_Equipos[Grupo],MATCH(BD44,T_Equipos[NombreEquipo],0)))</f>
        <v>3</v>
      </c>
      <c r="DI44" s="16"/>
      <c r="DJ44" s="16">
        <f t="shared" ca="1" si="38"/>
        <v>1</v>
      </c>
      <c r="DK44" s="16">
        <f t="shared" ca="1" si="39"/>
        <v>0</v>
      </c>
      <c r="DL44" s="16">
        <f t="shared" ca="1" si="40"/>
        <v>1</v>
      </c>
      <c r="DM44" s="16" t="str">
        <f t="shared" ca="1" si="46"/>
        <v>1.1</v>
      </c>
      <c r="DN44" s="16" cm="1">
        <f t="array" aca="1" ref="DN44" ca="1">OFFSET(Horarios!$P$3,DJ44-1,0,DL44,1)</f>
        <v>1</v>
      </c>
      <c r="DO44" s="16"/>
      <c r="DP44" s="16" t="s">
        <v>451</v>
      </c>
      <c r="DQ44" s="16" t="str">
        <f t="shared" ca="1" si="47"/>
        <v>Austria</v>
      </c>
    </row>
    <row r="45" spans="1:121" ht="16" customHeight="1" x14ac:dyDescent="0.2">
      <c r="A45" s="16" t="str">
        <f ca="1">+Equipos!B22</f>
        <v>Países Bajos</v>
      </c>
      <c r="B45" s="16"/>
      <c r="C45" s="16"/>
      <c r="D45" s="16" t="str">
        <f t="shared" si="131"/>
        <v>Pendiente</v>
      </c>
      <c r="E45" s="16" t="str">
        <f t="shared" si="132"/>
        <v>-</v>
      </c>
      <c r="F45" s="16" t="str">
        <f t="shared" si="133"/>
        <v>-</v>
      </c>
      <c r="G45" s="16"/>
      <c r="H45" s="16" t="str">
        <f t="shared" si="134"/>
        <v>-</v>
      </c>
      <c r="I45" s="16" t="str">
        <f t="shared" si="135"/>
        <v>-</v>
      </c>
      <c r="J45" s="16"/>
      <c r="K45" s="16" t="str">
        <f t="shared" si="136"/>
        <v>-</v>
      </c>
      <c r="L45" s="16" t="str">
        <f t="shared" si="137"/>
        <v>-</v>
      </c>
      <c r="M45" s="16"/>
      <c r="N45" s="16" t="str">
        <f t="shared" si="138"/>
        <v>-</v>
      </c>
      <c r="O45" s="16" t="str">
        <f t="shared" si="139"/>
        <v>-</v>
      </c>
      <c r="P45" s="16"/>
      <c r="Q45" s="16" t="str">
        <f t="shared" si="140"/>
        <v>-</v>
      </c>
      <c r="R45" s="16" t="str">
        <f t="shared" si="141"/>
        <v>-</v>
      </c>
      <c r="S45" s="16"/>
      <c r="T45" s="16" t="str">
        <f t="shared" si="142"/>
        <v>-</v>
      </c>
      <c r="U45" s="16" t="str">
        <f t="shared" si="143"/>
        <v>-</v>
      </c>
      <c r="V45" s="17"/>
      <c r="W45" s="646"/>
      <c r="X45" s="24">
        <f ca="1">Horarios!C45</f>
        <v>46188.166666666664</v>
      </c>
      <c r="Y45" s="25">
        <f ca="1">Horarios!C45</f>
        <v>46188.166666666664</v>
      </c>
      <c r="Z45" s="26" t="str">
        <f>$Z$4</f>
        <v>J1</v>
      </c>
      <c r="AA45" s="27" t="str">
        <f ca="1">A47</f>
        <v>Suecia</v>
      </c>
      <c r="AB45" s="49" t="str" cm="1">
        <f t="array" aca="1" ref="AB45" ca="1">Ver_flag_local</f>
        <v>🇸🇪</v>
      </c>
      <c r="AC45" s="50"/>
      <c r="AD45" s="51"/>
      <c r="AE45" s="595" t="str" cm="1">
        <f t="array" aca="1" ref="AE45" ca="1">Ver_flag_visit</f>
        <v>🇹🇳</v>
      </c>
      <c r="AF45" s="32" t="str">
        <f ca="1">A48</f>
        <v>Túnez</v>
      </c>
      <c r="AG45" s="323">
        <f t="shared" si="144"/>
        <v>0</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0</v>
      </c>
      <c r="BG45" s="16">
        <f t="shared" ca="1" si="17"/>
        <v>0</v>
      </c>
      <c r="BH45" s="16">
        <f t="shared" ca="1" si="18"/>
        <v>0</v>
      </c>
      <c r="BI45" s="16">
        <f t="shared" ca="1" si="19"/>
        <v>0</v>
      </c>
      <c r="BJ45" s="16">
        <f t="shared" ca="1" si="20"/>
        <v>0</v>
      </c>
      <c r="BK45" s="16">
        <f t="shared" ca="1" si="21"/>
        <v>0</v>
      </c>
      <c r="BL45" s="16">
        <f t="shared" ca="1" si="42"/>
        <v>0</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1</v>
      </c>
      <c r="BT45" s="16" t="str">
        <f ca="1">IF(COUNTIFS($BS$6:$BS$53,BS45,$BC$6:$BC$53,INDEX(T_Equipos[Grupo],MATCH(BD45,T_Equipos[NombreEquipo],0)))=1,"-","P."&amp;BS45&amp;" ("&amp;COUNTIFS($BS$6:$BS$53,BS45,$BC$6:$BC$53,INDEX(T_Equipos[Grupo],MATCH(BD45,T_Equipos[NombreEquipo],0)))&amp;")")</f>
        <v>P.1 (4)</v>
      </c>
      <c r="BU45" s="16">
        <f t="shared" ca="1" si="24"/>
        <v>0</v>
      </c>
      <c r="BV45" s="16">
        <f t="shared" ca="1" si="25"/>
        <v>0</v>
      </c>
      <c r="BW45" s="16">
        <f t="shared" ca="1" si="26"/>
        <v>0</v>
      </c>
      <c r="BX45" s="16">
        <f t="shared" ca="1" si="48"/>
        <v>0</v>
      </c>
      <c r="BY45" s="16">
        <f ca="1">BS45+COUNTIFS($BT$6:$BT$53,BT45,$BX$6:BX$53,"&gt;"&amp;BX45,$BC$6:$BC$53,INDEX(T_Equipos[Grupo],MATCH(BD45,T_Equipos[NombreEquipo],0)))</f>
        <v>1</v>
      </c>
      <c r="BZ45" s="16" t="str">
        <f ca="1">IF(COUNTIFS($BY$6:$BY$53,BY45,$BC$6:$BC$53,INDEX(T_Equipos[Grupo],MATCH(BD45,T_Equipos[NombreEquipo],0)))=1,"-","P."&amp;BY45&amp;" ("&amp;COUNTIFS($BY$6:$BY$53,BY45,$BC$6:$BC$53,INDEX(T_Equipos[Grupo],MATCH(BD45,T_Equipos[NombreEquipo],0)))&amp;")")</f>
        <v>P.1 (4)</v>
      </c>
      <c r="CA45" s="16">
        <f t="shared" ca="1" si="27"/>
        <v>0</v>
      </c>
      <c r="CB45" s="16">
        <f t="shared" ca="1" si="28"/>
        <v>0</v>
      </c>
      <c r="CC45" s="16">
        <f t="shared" ca="1" si="49"/>
        <v>0</v>
      </c>
      <c r="CD45" s="16">
        <f ca="1">BY45+COUNTIFS($BZ$6:$BZ$53,BZ45,$CC$6:CC$53,"&gt;"&amp;CC45,$BC$6:$BC$53,INDEX(T_Equipos[Grupo],MATCH(BD45,T_Equipos[NombreEquipo],0)))</f>
        <v>1</v>
      </c>
      <c r="CE45" s="16" t="str">
        <f ca="1">IF(COUNTIFS($CD$6:$CD$53,CD45,$BC$6:$BC$53,INDEX(T_Equipos[Grupo],MATCH(BD45,T_Equipos[NombreEquipo],0)))=1,"-","P."&amp;CD45&amp;" ("&amp;COUNTIFS($CD$6:$CD$53,CD45,$BC$6:$BC$53,INDEX(T_Equipos[Grupo],MATCH(BD45,T_Equipos[NombreEquipo],0)))&amp;")")</f>
        <v>P.1 (4)</v>
      </c>
      <c r="CF45" s="16">
        <f t="shared" ca="1" si="29"/>
        <v>0</v>
      </c>
      <c r="CG45" s="16">
        <f ca="1">CD45+COUNTIFS($CE$6:$CE$53,CE45,$CF$6:CF$53,"&gt;"&amp;CF45,$BC$6:$BC$53,INDEX(T_Equipos[Grupo],MATCH(BD45,T_Equipos[NombreEquipo],0)))</f>
        <v>1</v>
      </c>
      <c r="CH45" s="16" t="str">
        <f ca="1">IF(COUNTIFS($CG$6:$CG$53,CG45,$BC$6:$BC$53,INDEX(T_Equipos[Grupo],MATCH(BD45,T_Equipos[NombreEquipo],0)))=1,"-","P."&amp;CG45&amp;" ("&amp;COUNTIFS($CG$6:$CG$53,CG45,$BC$6:$BC$53,INDEX(T_Equipos[Grupo],MATCH(BD45,T_Equipos[NombreEquipo],0)))&amp;")")</f>
        <v>P.1 (4)</v>
      </c>
      <c r="CI45" s="16">
        <f t="shared" ca="1" si="30"/>
        <v>0</v>
      </c>
      <c r="CJ45" s="16">
        <f t="shared" ca="1" si="31"/>
        <v>0</v>
      </c>
      <c r="CK45" s="16">
        <f t="shared" ca="1" si="32"/>
        <v>0</v>
      </c>
      <c r="CL45" s="16">
        <f t="shared" ca="1" si="50"/>
        <v>0</v>
      </c>
      <c r="CM45" s="16">
        <f ca="1">CG45+COUNTIFS($CH$6:$CH$53,CH45,$CL$6:CL$53,"&gt;"&amp;CL45,$BC$6:$BC$53,INDEX(T_Equipos[Grupo],MATCH(BD45,T_Equipos[NombreEquipo],0)))</f>
        <v>1</v>
      </c>
      <c r="CN45" s="16" t="str">
        <f ca="1">IF(COUNTIFS($CM$6:$CM$53,CM45,$BC$6:$BC$53,INDEX(T_Equipos[Grupo],MATCH(BD45,T_Equipos[NombreEquipo],0)))=1,"-","P."&amp;CM45&amp;" ("&amp;COUNTIFS($CM$6:$CM$53,CM45,$BC$6:$BC$53,INDEX(T_Equipos[Grupo],MATCH(BD45,T_Equipos[NombreEquipo],0)))&amp;")")</f>
        <v>P.1 (4)</v>
      </c>
      <c r="CO45" s="16">
        <f t="shared" ca="1" si="33"/>
        <v>0</v>
      </c>
      <c r="CP45" s="16">
        <f t="shared" ca="1" si="34"/>
        <v>0</v>
      </c>
      <c r="CQ45" s="16">
        <f t="shared" ca="1" si="51"/>
        <v>0</v>
      </c>
      <c r="CR45" s="16">
        <f ca="1">CM45+COUNTIFS($CN$6:$CN$53,CN45,$CQ$6:CQ$53,"&gt;"&amp;CQ45,$BC$6:$BC$53,INDEX(T_Equipos[Grupo],MATCH(BD45,T_Equipos[NombreEquipo],0)))</f>
        <v>1</v>
      </c>
      <c r="CS45" s="16" t="str">
        <f ca="1">IF(COUNTIFS($CR$6:$CR$53,CR45,$BC$6:$BC$53,INDEX(T_Equipos[Grupo],MATCH(BD45,T_Equipos[NombreEquipo],0)))=1,"-","P."&amp;CR45&amp;" ("&amp;COUNTIFS($CR$6:$CR$53,CR45,$BC$6:$BC$53,INDEX(T_Equipos[Grupo],MATCH(BD45,T_Equipos[NombreEquipo],0)))&amp;")")</f>
        <v>P.1 (4)</v>
      </c>
      <c r="CT45" s="16">
        <f t="shared" ca="1" si="35"/>
        <v>0</v>
      </c>
      <c r="CU45" s="16">
        <f ca="1">CR45+COUNTIFS($CS$6:$CS$53,CS45,$CT$6:CT$53,"&gt;"&amp;CT45,$BC$6:$BC$53,INDEX(T_Equipos[Grupo],MATCH(BD45,T_Equipos[NombreEquipo],0)))</f>
        <v>1</v>
      </c>
      <c r="CV45" s="16" t="str">
        <f ca="1">IF(COUNTIFS($CU$6:$CU$53,CU45,$BC$6:$BC$53,INDEX(T_Equipos[Grupo],MATCH(BD45,T_Equipos[NombreEquipo],0)))=1,"-","P."&amp;CU45&amp;" ("&amp;COUNTIFS($CU$6:$CU$53,CU45,$BC$6:$BC$53,INDEX(T_Equipos[Grupo],MATCH(BD45,T_Equipos[NombreEquipo],0)))&amp;")")</f>
        <v>P.1 (4)</v>
      </c>
      <c r="CW45" s="16">
        <f t="shared" ca="1" si="36"/>
        <v>0</v>
      </c>
      <c r="CX45" s="16">
        <f ca="1">CU45+COUNTIFS($CV$6:$CV$53,CV45,$CW$6:CW$53,"&gt;"&amp;CW45,$BC$6:$BC$53,INDEX(T_Equipos[Grupo],MATCH(BD45,T_Equipos[NombreEquipo],0)))</f>
        <v>1</v>
      </c>
      <c r="CY45" s="16" t="str">
        <f ca="1">IF(COUNTIFS($CX$6:$CX$53,CX45,$BC$6:$BC$53,INDEX(T_Equipos[Grupo],MATCH(BD45,T_Equipos[NombreEquipo],0)))=1,"-","P."&amp;CX45&amp;" ("&amp;COUNTIFS($CX$6:$CX$53,CX45,$BC$6:$BC$53,INDEX(T_Equipos[Grupo],MATCH(BD45,T_Equipos[NombreEquipo],0)))&amp;")")</f>
        <v>P.1 (4)</v>
      </c>
      <c r="CZ45" s="16">
        <f t="shared" ca="1" si="37"/>
        <v>0</v>
      </c>
      <c r="DA45" s="16">
        <f ca="1">CX45+COUNTIFS($CY$6:$CY$53,CY45,$CZ$6:CZ$53,"&gt;"&amp;CZ45,$BC$6:$BC$53,INDEX(T_Equipos[Grupo],MATCH(BD45,T_Equipos[NombreEquipo],0)))</f>
        <v>1</v>
      </c>
      <c r="DB45" s="16" t="str">
        <f ca="1">IF(COUNTIFS($DA$6:$DA$53,DA45,$BC$6:$BC$53,INDEX(T_Equipos[Grupo],MATCH(BD45,T_Equipos[NombreEquipo],0)))=1,"-","P."&amp;DA45&amp;" ("&amp;COUNTIFS($DA$6:$DA$53,DA45,$BC$6:$BC$53,INDEX(T_Equipos[Grupo],MATCH(BD45,T_Equipos[NombreEquipo],0)))&amp;")")</f>
        <v>P.1 (4)</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52"/>
        <v>4</v>
      </c>
      <c r="DG45" s="16">
        <f ca="1">IF(DB45="-","-",COUNTIFS(DF$6:DF$53,"&lt;"&amp;DF45,$BC$6:$BC$53,INDEX(T_Equipos[Grupo],MATCH(BD45,T_Equipos[NombreEquipo],0))))</f>
        <v>3</v>
      </c>
      <c r="DH45" s="16">
        <f ca="1">DA45+COUNTIFS(DB$6:DB$53,DB45,DG$6:DG$53,"&lt;"&amp;DG45,$BC$6:$BC$53,INDEX(T_Equipos[Grupo],MATCH(BD45,T_Equipos[NombreEquipo],0)))</f>
        <v>4</v>
      </c>
      <c r="DI45" s="16"/>
      <c r="DJ45" s="16">
        <f t="shared" ca="1" si="38"/>
        <v>1</v>
      </c>
      <c r="DK45" s="16">
        <f t="shared" ca="1" si="39"/>
        <v>0</v>
      </c>
      <c r="DL45" s="16">
        <f t="shared" ca="1" si="40"/>
        <v>1</v>
      </c>
      <c r="DM45" s="16" t="str">
        <f t="shared" ca="1" si="46"/>
        <v>1.1</v>
      </c>
      <c r="DN45" s="16" cm="1">
        <f t="array" aca="1" ref="DN45" ca="1">OFFSET(Horarios!$P$3,DJ45-1,0,DL45,1)</f>
        <v>1</v>
      </c>
      <c r="DO45" s="16"/>
      <c r="DP45" s="16" t="s">
        <v>690</v>
      </c>
      <c r="DQ45" s="16" t="str">
        <f t="shared" ca="1" si="47"/>
        <v>Jordania</v>
      </c>
    </row>
    <row r="46" spans="1:121" ht="16" customHeight="1" x14ac:dyDescent="0.2">
      <c r="A46" s="16" t="str">
        <f ca="1">+Equipos!B23</f>
        <v>Japón</v>
      </c>
      <c r="B46" s="16"/>
      <c r="C46" s="16"/>
      <c r="D46" s="16" t="str">
        <f t="shared" si="131"/>
        <v>Pendiente</v>
      </c>
      <c r="E46" s="16" t="str">
        <f t="shared" si="132"/>
        <v>-</v>
      </c>
      <c r="F46" s="16" t="str">
        <f t="shared" si="133"/>
        <v>-</v>
      </c>
      <c r="G46" s="16"/>
      <c r="H46" s="16" t="str">
        <f t="shared" si="134"/>
        <v>-</v>
      </c>
      <c r="I46" s="16" t="str">
        <f t="shared" si="135"/>
        <v>-</v>
      </c>
      <c r="J46" s="16"/>
      <c r="K46" s="16" t="str">
        <f t="shared" si="136"/>
        <v>-</v>
      </c>
      <c r="L46" s="16" t="str">
        <f t="shared" si="137"/>
        <v>-</v>
      </c>
      <c r="M46" s="16"/>
      <c r="N46" s="16" t="str">
        <f t="shared" si="138"/>
        <v>-</v>
      </c>
      <c r="O46" s="16" t="str">
        <f t="shared" si="139"/>
        <v>-</v>
      </c>
      <c r="P46" s="16"/>
      <c r="Q46" s="16" t="str">
        <f t="shared" si="140"/>
        <v>-</v>
      </c>
      <c r="R46" s="16" t="str">
        <f t="shared" si="141"/>
        <v>-</v>
      </c>
      <c r="S46" s="16"/>
      <c r="T46" s="16" t="str">
        <f t="shared" si="142"/>
        <v>-</v>
      </c>
      <c r="U46" s="16" t="str">
        <f t="shared" si="143"/>
        <v>-</v>
      </c>
      <c r="V46" s="17"/>
      <c r="W46" s="646"/>
      <c r="X46" s="24">
        <f ca="1">Horarios!C46</f>
        <v>46193.791666666664</v>
      </c>
      <c r="Y46" s="25">
        <f ca="1">Horarios!C46</f>
        <v>46193.791666666664</v>
      </c>
      <c r="Z46" s="26" t="str">
        <f>$Z$6</f>
        <v>J2</v>
      </c>
      <c r="AA46" s="27" t="str">
        <f ca="1">A45</f>
        <v>Países Bajos</v>
      </c>
      <c r="AB46" s="49" t="str" cm="1">
        <f t="array" aca="1" ref="AB46" ca="1">Ver_flag_local</f>
        <v>🇳🇱</v>
      </c>
      <c r="AC46" s="50"/>
      <c r="AD46" s="51"/>
      <c r="AE46" s="595" t="str" cm="1">
        <f t="array" aca="1" ref="AE46" ca="1">Ver_flag_visit</f>
        <v>🇸🇪</v>
      </c>
      <c r="AF46" s="32" t="str">
        <f ca="1">A47</f>
        <v>Suecia</v>
      </c>
      <c r="AG46" s="323">
        <f t="shared" si="144"/>
        <v>0</v>
      </c>
      <c r="AH46" s="195">
        <v>35</v>
      </c>
      <c r="AI46" s="181" t="str">
        <f>AJ46&amp;$B$44</f>
        <v>1F</v>
      </c>
      <c r="AJ46" s="40">
        <v>1</v>
      </c>
      <c r="AK46" s="601" t="str" cm="1">
        <f t="array" aca="1" ref="AK46" ca="1">Ver_flag_visit</f>
        <v>🇳🇱</v>
      </c>
      <c r="AL46" s="34" t="str">
        <f ca="1">IFERROR(INDEX($BD$6:$BD$53,MATCH(AI46,$BN$6:$BN$53,0)),"")</f>
        <v>Países Bajos</v>
      </c>
      <c r="AM46" s="35">
        <f t="shared" ref="AM46:AT49" ca="1" si="147">INDEX($BE$6:$BN$53,MATCH($AL46,$BD$6:$BD$53,0),MATCH(AM$5,$BE$5:$BN$5,0))</f>
        <v>0</v>
      </c>
      <c r="AN46" s="36">
        <f t="shared" ca="1" si="147"/>
        <v>0</v>
      </c>
      <c r="AO46" s="36">
        <f t="shared" ca="1" si="147"/>
        <v>0</v>
      </c>
      <c r="AP46" s="36">
        <f t="shared" ca="1" si="147"/>
        <v>0</v>
      </c>
      <c r="AQ46" s="36">
        <f t="shared" ca="1" si="147"/>
        <v>0</v>
      </c>
      <c r="AR46" s="36">
        <f t="shared" ca="1" si="147"/>
        <v>0</v>
      </c>
      <c r="AS46" s="36">
        <f t="shared" ca="1" si="147"/>
        <v>0</v>
      </c>
      <c r="AT46" s="41">
        <f t="shared" ca="1" si="147"/>
        <v>0</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0</v>
      </c>
      <c r="BF46" s="16">
        <f t="shared" ca="1" si="41"/>
        <v>0</v>
      </c>
      <c r="BG46" s="16">
        <f t="shared" ca="1" si="17"/>
        <v>0</v>
      </c>
      <c r="BH46" s="16">
        <f t="shared" ca="1" si="18"/>
        <v>0</v>
      </c>
      <c r="BI46" s="16">
        <f t="shared" ca="1" si="19"/>
        <v>0</v>
      </c>
      <c r="BJ46" s="16">
        <f t="shared" ca="1" si="20"/>
        <v>0</v>
      </c>
      <c r="BK46" s="16">
        <f t="shared" ca="1" si="21"/>
        <v>0</v>
      </c>
      <c r="BL46" s="16">
        <f t="shared" ca="1" si="42"/>
        <v>0</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0</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(4)</v>
      </c>
      <c r="BU46" s="16">
        <f t="shared" ca="1" si="24"/>
        <v>0</v>
      </c>
      <c r="BV46" s="16">
        <f t="shared" ca="1" si="25"/>
        <v>0</v>
      </c>
      <c r="BW46" s="16">
        <f t="shared" ca="1" si="26"/>
        <v>0</v>
      </c>
      <c r="BX46" s="16">
        <f t="shared" ca="1" si="48"/>
        <v>0</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(4)</v>
      </c>
      <c r="CA46" s="16">
        <f t="shared" ca="1" si="27"/>
        <v>0</v>
      </c>
      <c r="CB46" s="16">
        <f t="shared" ca="1" si="28"/>
        <v>0</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(4)</v>
      </c>
      <c r="CF46" s="16">
        <f t="shared" ca="1" si="29"/>
        <v>0</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(4)</v>
      </c>
      <c r="CI46" s="16">
        <f t="shared" ca="1" si="30"/>
        <v>0</v>
      </c>
      <c r="CJ46" s="16">
        <f t="shared" ca="1" si="31"/>
        <v>0</v>
      </c>
      <c r="CK46" s="16">
        <f t="shared" ca="1" si="32"/>
        <v>0</v>
      </c>
      <c r="CL46" s="16">
        <f t="shared" ca="1" si="50"/>
        <v>0</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(4)</v>
      </c>
      <c r="CO46" s="16">
        <f t="shared" ca="1" si="33"/>
        <v>0</v>
      </c>
      <c r="CP46" s="16">
        <f t="shared" ca="1" si="34"/>
        <v>0</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(4)</v>
      </c>
      <c r="CT46" s="16">
        <f t="shared" ca="1" si="35"/>
        <v>0</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(4)</v>
      </c>
      <c r="CW46" s="16">
        <f t="shared" ca="1" si="36"/>
        <v>0</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(4)</v>
      </c>
      <c r="CZ46" s="16">
        <f t="shared" ca="1" si="37"/>
        <v>0</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(4)</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52"/>
        <v>1</v>
      </c>
      <c r="DG46" s="16">
        <f ca="1">IF(DB46="-","-",COUNTIFS(DF$6:DF$53,"&lt;"&amp;DF46,$BC$6:$BC$53,INDEX(T_Equipos[Grupo],MATCH(BD46,T_Equipos[NombreEquipo],0))))</f>
        <v>0</v>
      </c>
      <c r="DH46" s="16">
        <f ca="1">DA46+COUNTIFS(DB$6:DB$53,DB46,DG$6:DG$53,"&lt;"&amp;DG46,$BC$6:$BC$53,INDEX(T_Equipos[Grupo],MATCH(BD46,T_Equipos[NombreEquipo],0)))</f>
        <v>1</v>
      </c>
      <c r="DI46" s="16"/>
      <c r="DJ46" s="16">
        <f t="shared" ca="1" si="38"/>
        <v>1</v>
      </c>
      <c r="DK46" s="16">
        <f t="shared" ca="1" si="39"/>
        <v>0</v>
      </c>
      <c r="DL46" s="16">
        <f t="shared" ca="1" si="40"/>
        <v>1</v>
      </c>
      <c r="DM46" s="16" t="str">
        <f t="shared" ca="1" si="46"/>
        <v>1.1</v>
      </c>
      <c r="DN46" s="16" cm="1">
        <f t="array" aca="1" ref="DN46" ca="1">OFFSET(Horarios!$P$3,DJ46-1,0,DL46,1)</f>
        <v>1</v>
      </c>
      <c r="DO46" s="16"/>
      <c r="DP46" s="16" t="s">
        <v>691</v>
      </c>
      <c r="DQ46" s="16" t="str">
        <f t="shared" ca="1" si="47"/>
        <v>Portugal</v>
      </c>
    </row>
    <row r="47" spans="1:121" ht="16" customHeight="1" x14ac:dyDescent="0.2">
      <c r="A47" s="16" t="str">
        <f ca="1">+Equipos!B24</f>
        <v>Suecia</v>
      </c>
      <c r="B47" s="16"/>
      <c r="C47" s="16"/>
      <c r="D47" s="16" t="str">
        <f t="shared" si="131"/>
        <v>Pendiente</v>
      </c>
      <c r="E47" s="16" t="str">
        <f t="shared" si="132"/>
        <v>-</v>
      </c>
      <c r="F47" s="16" t="str">
        <f t="shared" si="133"/>
        <v>-</v>
      </c>
      <c r="G47" s="16"/>
      <c r="H47" s="16" t="str">
        <f t="shared" si="134"/>
        <v>-</v>
      </c>
      <c r="I47" s="16" t="str">
        <f t="shared" si="135"/>
        <v>-</v>
      </c>
      <c r="J47" s="16"/>
      <c r="K47" s="16" t="str">
        <f t="shared" si="136"/>
        <v>-</v>
      </c>
      <c r="L47" s="16" t="str">
        <f t="shared" si="137"/>
        <v>-</v>
      </c>
      <c r="M47" s="16"/>
      <c r="N47" s="16" t="str">
        <f t="shared" si="138"/>
        <v>-</v>
      </c>
      <c r="O47" s="16" t="str">
        <f t="shared" si="139"/>
        <v>-</v>
      </c>
      <c r="P47" s="16"/>
      <c r="Q47" s="16" t="str">
        <f t="shared" si="140"/>
        <v>-</v>
      </c>
      <c r="R47" s="16" t="str">
        <f t="shared" si="141"/>
        <v>-</v>
      </c>
      <c r="S47" s="16"/>
      <c r="T47" s="16" t="str">
        <f t="shared" si="142"/>
        <v>-</v>
      </c>
      <c r="U47" s="16" t="str">
        <f t="shared" si="143"/>
        <v>-</v>
      </c>
      <c r="V47" s="17"/>
      <c r="W47" s="646"/>
      <c r="X47" s="24">
        <f ca="1">Horarios!C47</f>
        <v>46194.25</v>
      </c>
      <c r="Y47" s="25">
        <f ca="1">Horarios!C47</f>
        <v>46194.25</v>
      </c>
      <c r="Z47" s="26" t="str">
        <f>$Z$6</f>
        <v>J2</v>
      </c>
      <c r="AA47" s="27" t="str">
        <f ca="1">A48</f>
        <v>Túnez</v>
      </c>
      <c r="AB47" s="49" t="str" cm="1">
        <f t="array" aca="1" ref="AB47" ca="1">Ver_flag_local</f>
        <v>🇹🇳</v>
      </c>
      <c r="AC47" s="50"/>
      <c r="AD47" s="51"/>
      <c r="AE47" s="595" t="str" cm="1">
        <f t="array" aca="1" ref="AE47" ca="1">Ver_flag_visit</f>
        <v>🇯🇵</v>
      </c>
      <c r="AF47" s="32" t="str">
        <f ca="1">A46</f>
        <v>Japón</v>
      </c>
      <c r="AG47" s="323">
        <f t="shared" si="144"/>
        <v>0</v>
      </c>
      <c r="AH47" s="195">
        <v>36</v>
      </c>
      <c r="AI47" s="181" t="str">
        <f t="shared" ref="AI47:AI49" si="148">AJ47&amp;$B$44</f>
        <v>2F</v>
      </c>
      <c r="AJ47" s="42">
        <v>2</v>
      </c>
      <c r="AK47" s="602" t="str" cm="1">
        <f t="array" aca="1" ref="AK47" ca="1">Ver_flag_visit</f>
        <v>🇯🇵</v>
      </c>
      <c r="AL47" s="37" t="str">
        <f ca="1">IFERROR(INDEX($BD$6:$BD$53,MATCH(AI47,$BN$6:$BN$53,0)),"")</f>
        <v>Japón</v>
      </c>
      <c r="AM47" s="38">
        <f t="shared" ca="1" si="147"/>
        <v>0</v>
      </c>
      <c r="AN47" s="39">
        <f t="shared" ca="1" si="147"/>
        <v>0</v>
      </c>
      <c r="AO47" s="39">
        <f t="shared" ca="1" si="147"/>
        <v>0</v>
      </c>
      <c r="AP47" s="39">
        <f t="shared" ca="1" si="147"/>
        <v>0</v>
      </c>
      <c r="AQ47" s="39">
        <f t="shared" ca="1" si="147"/>
        <v>0</v>
      </c>
      <c r="AR47" s="39">
        <f t="shared" ca="1" si="147"/>
        <v>0</v>
      </c>
      <c r="AS47" s="39">
        <f t="shared" ca="1" si="147"/>
        <v>0</v>
      </c>
      <c r="AT47" s="43">
        <f t="shared" ca="1" si="147"/>
        <v>0</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0</v>
      </c>
      <c r="BG47" s="16">
        <f t="shared" ca="1" si="17"/>
        <v>0</v>
      </c>
      <c r="BH47" s="16">
        <f t="shared" ca="1" si="18"/>
        <v>0</v>
      </c>
      <c r="BI47" s="16">
        <f t="shared" ca="1" si="19"/>
        <v>0</v>
      </c>
      <c r="BJ47" s="16">
        <f t="shared" ca="1" si="20"/>
        <v>0</v>
      </c>
      <c r="BK47" s="16">
        <f t="shared" ca="1" si="21"/>
        <v>0</v>
      </c>
      <c r="BL47" s="16">
        <f t="shared" ca="1" si="42"/>
        <v>0</v>
      </c>
      <c r="BM47" s="16" t="str">
        <f t="shared" ca="1" si="22"/>
        <v>2K</v>
      </c>
      <c r="BN47" s="16" t="str">
        <f t="shared" ca="1" si="23"/>
        <v>2K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1</v>
      </c>
      <c r="BT47" s="16" t="str">
        <f ca="1">IF(COUNTIFS($BS$6:$BS$53,BS47,$BC$6:$BC$53,INDEX(T_Equipos[Grupo],MATCH(BD47,T_Equipos[NombreEquipo],0)))=1,"-","P."&amp;BS47&amp;" ("&amp;COUNTIFS($BS$6:$BS$53,BS47,$BC$6:$BC$53,INDEX(T_Equipos[Grupo],MATCH(BD47,T_Equipos[NombreEquipo],0)))&amp;")")</f>
        <v>P.1 (4)</v>
      </c>
      <c r="BU47" s="16">
        <f t="shared" ca="1" si="24"/>
        <v>0</v>
      </c>
      <c r="BV47" s="16">
        <f t="shared" ca="1" si="25"/>
        <v>0</v>
      </c>
      <c r="BW47" s="16">
        <f t="shared" ca="1" si="26"/>
        <v>0</v>
      </c>
      <c r="BX47" s="16">
        <f t="shared" ca="1" si="48"/>
        <v>0</v>
      </c>
      <c r="BY47" s="16">
        <f ca="1">BS47+COUNTIFS($BT$6:$BT$53,BT47,$BX$6:BX$53,"&gt;"&amp;BX47,$BC$6:$BC$53,INDEX(T_Equipos[Grupo],MATCH(BD47,T_Equipos[NombreEquipo],0)))</f>
        <v>1</v>
      </c>
      <c r="BZ47" s="16" t="str">
        <f ca="1">IF(COUNTIFS($BY$6:$BY$53,BY47,$BC$6:$BC$53,INDEX(T_Equipos[Grupo],MATCH(BD47,T_Equipos[NombreEquipo],0)))=1,"-","P."&amp;BY47&amp;" ("&amp;COUNTIFS($BY$6:$BY$53,BY47,$BC$6:$BC$53,INDEX(T_Equipos[Grupo],MATCH(BD47,T_Equipos[NombreEquipo],0)))&amp;")")</f>
        <v>P.1 (4)</v>
      </c>
      <c r="CA47" s="16">
        <f t="shared" ca="1" si="27"/>
        <v>0</v>
      </c>
      <c r="CB47" s="16">
        <f t="shared" ca="1" si="28"/>
        <v>0</v>
      </c>
      <c r="CC47" s="16">
        <f t="shared" ca="1" si="49"/>
        <v>0</v>
      </c>
      <c r="CD47" s="16">
        <f ca="1">BY47+COUNTIFS($BZ$6:$BZ$53,BZ47,$CC$6:CC$53,"&gt;"&amp;CC47,$BC$6:$BC$53,INDEX(T_Equipos[Grupo],MATCH(BD47,T_Equipos[NombreEquipo],0)))</f>
        <v>1</v>
      </c>
      <c r="CE47" s="16" t="str">
        <f ca="1">IF(COUNTIFS($CD$6:$CD$53,CD47,$BC$6:$BC$53,INDEX(T_Equipos[Grupo],MATCH(BD47,T_Equipos[NombreEquipo],0)))=1,"-","P."&amp;CD47&amp;" ("&amp;COUNTIFS($CD$6:$CD$53,CD47,$BC$6:$BC$53,INDEX(T_Equipos[Grupo],MATCH(BD47,T_Equipos[NombreEquipo],0)))&amp;")")</f>
        <v>P.1 (4)</v>
      </c>
      <c r="CF47" s="16">
        <f t="shared" ca="1" si="29"/>
        <v>0</v>
      </c>
      <c r="CG47" s="16">
        <f ca="1">CD47+COUNTIFS($CE$6:$CE$53,CE47,$CF$6:CF$53,"&gt;"&amp;CF47,$BC$6:$BC$53,INDEX(T_Equipos[Grupo],MATCH(BD47,T_Equipos[NombreEquipo],0)))</f>
        <v>1</v>
      </c>
      <c r="CH47" s="16" t="str">
        <f ca="1">IF(COUNTIFS($CG$6:$CG$53,CG47,$BC$6:$BC$53,INDEX(T_Equipos[Grupo],MATCH(BD47,T_Equipos[NombreEquipo],0)))=1,"-","P."&amp;CG47&amp;" ("&amp;COUNTIFS($CG$6:$CG$53,CG47,$BC$6:$BC$53,INDEX(T_Equipos[Grupo],MATCH(BD47,T_Equipos[NombreEquipo],0)))&amp;")")</f>
        <v>P.1 (4)</v>
      </c>
      <c r="CI47" s="16">
        <f t="shared" ca="1" si="30"/>
        <v>0</v>
      </c>
      <c r="CJ47" s="16">
        <f t="shared" ca="1" si="31"/>
        <v>0</v>
      </c>
      <c r="CK47" s="16">
        <f t="shared" ca="1" si="32"/>
        <v>0</v>
      </c>
      <c r="CL47" s="16">
        <f t="shared" ca="1" si="50"/>
        <v>0</v>
      </c>
      <c r="CM47" s="16">
        <f ca="1">CG47+COUNTIFS($CH$6:$CH$53,CH47,$CL$6:CL$53,"&gt;"&amp;CL47,$BC$6:$BC$53,INDEX(T_Equipos[Grupo],MATCH(BD47,T_Equipos[NombreEquipo],0)))</f>
        <v>1</v>
      </c>
      <c r="CN47" s="16" t="str">
        <f ca="1">IF(COUNTIFS($CM$6:$CM$53,CM47,$BC$6:$BC$53,INDEX(T_Equipos[Grupo],MATCH(BD47,T_Equipos[NombreEquipo],0)))=1,"-","P."&amp;CM47&amp;" ("&amp;COUNTIFS($CM$6:$CM$53,CM47,$BC$6:$BC$53,INDEX(T_Equipos[Grupo],MATCH(BD47,T_Equipos[NombreEquipo],0)))&amp;")")</f>
        <v>P.1 (4)</v>
      </c>
      <c r="CO47" s="16">
        <f t="shared" ca="1" si="33"/>
        <v>0</v>
      </c>
      <c r="CP47" s="16">
        <f t="shared" ca="1" si="34"/>
        <v>0</v>
      </c>
      <c r="CQ47" s="16">
        <f t="shared" ca="1" si="51"/>
        <v>0</v>
      </c>
      <c r="CR47" s="16">
        <f ca="1">CM47+COUNTIFS($CN$6:$CN$53,CN47,$CQ$6:CQ$53,"&gt;"&amp;CQ47,$BC$6:$BC$53,INDEX(T_Equipos[Grupo],MATCH(BD47,T_Equipos[NombreEquipo],0)))</f>
        <v>1</v>
      </c>
      <c r="CS47" s="16" t="str">
        <f ca="1">IF(COUNTIFS($CR$6:$CR$53,CR47,$BC$6:$BC$53,INDEX(T_Equipos[Grupo],MATCH(BD47,T_Equipos[NombreEquipo],0)))=1,"-","P."&amp;CR47&amp;" ("&amp;COUNTIFS($CR$6:$CR$53,CR47,$BC$6:$BC$53,INDEX(T_Equipos[Grupo],MATCH(BD47,T_Equipos[NombreEquipo],0)))&amp;")")</f>
        <v>P.1 (4)</v>
      </c>
      <c r="CT47" s="16">
        <f t="shared" ca="1" si="35"/>
        <v>0</v>
      </c>
      <c r="CU47" s="16">
        <f ca="1">CR47+COUNTIFS($CS$6:$CS$53,CS47,$CT$6:CT$53,"&gt;"&amp;CT47,$BC$6:$BC$53,INDEX(T_Equipos[Grupo],MATCH(BD47,T_Equipos[NombreEquipo],0)))</f>
        <v>1</v>
      </c>
      <c r="CV47" s="16" t="str">
        <f ca="1">IF(COUNTIFS($CU$6:$CU$53,CU47,$BC$6:$BC$53,INDEX(T_Equipos[Grupo],MATCH(BD47,T_Equipos[NombreEquipo],0)))=1,"-","P."&amp;CU47&amp;" ("&amp;COUNTIFS($CU$6:$CU$53,CU47,$BC$6:$BC$53,INDEX(T_Equipos[Grupo],MATCH(BD47,T_Equipos[NombreEquipo],0)))&amp;")")</f>
        <v>P.1 (4)</v>
      </c>
      <c r="CW47" s="16">
        <f t="shared" ca="1" si="36"/>
        <v>0</v>
      </c>
      <c r="CX47" s="16">
        <f ca="1">CU47+COUNTIFS($CV$6:$CV$53,CV47,$CW$6:CW$53,"&gt;"&amp;CW47,$BC$6:$BC$53,INDEX(T_Equipos[Grupo],MATCH(BD47,T_Equipos[NombreEquipo],0)))</f>
        <v>1</v>
      </c>
      <c r="CY47" s="16" t="str">
        <f ca="1">IF(COUNTIFS($CX$6:$CX$53,CX47,$BC$6:$BC$53,INDEX(T_Equipos[Grupo],MATCH(BD47,T_Equipos[NombreEquipo],0)))=1,"-","P."&amp;CX47&amp;" ("&amp;COUNTIFS($CX$6:$CX$53,CX47,$BC$6:$BC$53,INDEX(T_Equipos[Grupo],MATCH(BD47,T_Equipos[NombreEquipo],0)))&amp;")")</f>
        <v>P.1 (4)</v>
      </c>
      <c r="CZ47" s="16">
        <f t="shared" ca="1" si="37"/>
        <v>0</v>
      </c>
      <c r="DA47" s="16">
        <f ca="1">CX47+COUNTIFS($CY$6:$CY$53,CY47,$CZ$6:CZ$53,"&gt;"&amp;CZ47,$BC$6:$BC$53,INDEX(T_Equipos[Grupo],MATCH(BD47,T_Equipos[NombreEquipo],0)))</f>
        <v>1</v>
      </c>
      <c r="DB47" s="16" t="str">
        <f ca="1">IF(COUNTIFS($DA$6:$DA$53,DA47,$BC$6:$BC$53,INDEX(T_Equipos[Grupo],MATCH(BD47,T_Equipos[NombreEquipo],0)))=1,"-","P."&amp;DA47&amp;" ("&amp;COUNTIFS($DA$6:$DA$53,DA47,$BC$6:$BC$53,INDEX(T_Equipos[Grupo],MATCH(BD47,T_Equipos[NombreEquipo],0)))&amp;")")</f>
        <v>P.1 (4)</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2</v>
      </c>
      <c r="DE47" s="16"/>
      <c r="DF47" s="16">
        <f t="shared" ca="1" si="52"/>
        <v>2</v>
      </c>
      <c r="DG47" s="16">
        <f ca="1">IF(DB47="-","-",COUNTIFS(DF$6:DF$53,"&lt;"&amp;DF47,$BC$6:$BC$53,INDEX(T_Equipos[Grupo],MATCH(BD47,T_Equipos[NombreEquipo],0))))</f>
        <v>1</v>
      </c>
      <c r="DH47" s="16">
        <f ca="1">DA47+COUNTIFS(DB$6:DB$53,DB47,DG$6:DG$53,"&lt;"&amp;DG47,$BC$6:$BC$53,INDEX(T_Equipos[Grupo],MATCH(BD47,T_Equipos[NombreEquipo],0)))</f>
        <v>2</v>
      </c>
      <c r="DI47" s="16"/>
      <c r="DJ47" s="16">
        <f t="shared" ca="1" si="38"/>
        <v>1</v>
      </c>
      <c r="DK47" s="16">
        <f t="shared" ca="1" si="39"/>
        <v>0</v>
      </c>
      <c r="DL47" s="16">
        <f t="shared" ca="1" si="40"/>
        <v>1</v>
      </c>
      <c r="DM47" s="16" t="str">
        <f t="shared" ca="1" si="46"/>
        <v>1.1</v>
      </c>
      <c r="DN47" s="16" cm="1">
        <f t="array" aca="1" ref="DN47" ca="1">OFFSET(Horarios!$P$3,DJ47-1,0,DL47,1)</f>
        <v>1</v>
      </c>
      <c r="DO47" s="16"/>
      <c r="DP47" s="16" t="s">
        <v>692</v>
      </c>
      <c r="DQ47" s="16" t="str">
        <f t="shared" ca="1" si="47"/>
        <v>RD Congo</v>
      </c>
    </row>
    <row r="48" spans="1:121" ht="16" customHeight="1" x14ac:dyDescent="0.2">
      <c r="A48" s="16" t="str">
        <f ca="1">+Equipos!B25</f>
        <v>Túnez</v>
      </c>
      <c r="B48" s="16"/>
      <c r="C48" s="16"/>
      <c r="D48" s="16" t="str">
        <f t="shared" si="131"/>
        <v>Pendiente</v>
      </c>
      <c r="E48" s="16" t="str">
        <f t="shared" si="132"/>
        <v>-</v>
      </c>
      <c r="F48" s="16" t="str">
        <f t="shared" si="133"/>
        <v>-</v>
      </c>
      <c r="G48" s="16"/>
      <c r="H48" s="16" t="str">
        <f t="shared" si="134"/>
        <v>-</v>
      </c>
      <c r="I48" s="16" t="str">
        <f t="shared" si="135"/>
        <v>-</v>
      </c>
      <c r="J48" s="16"/>
      <c r="K48" s="16" t="str">
        <f t="shared" si="136"/>
        <v>-</v>
      </c>
      <c r="L48" s="16" t="str">
        <f t="shared" si="137"/>
        <v>-</v>
      </c>
      <c r="M48" s="16"/>
      <c r="N48" s="16" t="str">
        <f t="shared" si="138"/>
        <v>-</v>
      </c>
      <c r="O48" s="16" t="str">
        <f t="shared" si="139"/>
        <v>-</v>
      </c>
      <c r="P48" s="16"/>
      <c r="Q48" s="16" t="str">
        <f t="shared" si="140"/>
        <v>-</v>
      </c>
      <c r="R48" s="16" t="str">
        <f t="shared" si="141"/>
        <v>-</v>
      </c>
      <c r="S48" s="16"/>
      <c r="T48" s="16" t="str">
        <f t="shared" si="142"/>
        <v>-</v>
      </c>
      <c r="U48" s="16" t="str">
        <f t="shared" si="143"/>
        <v>-</v>
      </c>
      <c r="V48" s="17"/>
      <c r="W48" s="646"/>
      <c r="X48" s="24">
        <f ca="1">Horarios!C48</f>
        <v>46199.041666666664</v>
      </c>
      <c r="Y48" s="25">
        <f ca="1">Horarios!C48</f>
        <v>46199.041666666664</v>
      </c>
      <c r="Z48" s="26" t="str">
        <f>$Z$8</f>
        <v>J3</v>
      </c>
      <c r="AA48" s="27" t="str">
        <f ca="1">A46</f>
        <v>Japón</v>
      </c>
      <c r="AB48" s="49" t="str" cm="1">
        <f t="array" aca="1" ref="AB48" ca="1">Ver_flag_local</f>
        <v>🇯🇵</v>
      </c>
      <c r="AC48" s="50"/>
      <c r="AD48" s="51"/>
      <c r="AE48" s="595" t="str" cm="1">
        <f t="array" aca="1" ref="AE48" ca="1">Ver_flag_visit</f>
        <v>🇸🇪</v>
      </c>
      <c r="AF48" s="32" t="str">
        <f ca="1">A47</f>
        <v>Suecia</v>
      </c>
      <c r="AG48" s="323">
        <f t="shared" si="144"/>
        <v>0</v>
      </c>
      <c r="AH48" s="195">
        <v>57</v>
      </c>
      <c r="AI48" s="181" t="str">
        <f t="shared" si="148"/>
        <v>3F</v>
      </c>
      <c r="AJ48" s="42">
        <v>3</v>
      </c>
      <c r="AK48" s="602" t="str" cm="1">
        <f t="array" aca="1" ref="AK48" ca="1">Ver_flag_visit</f>
        <v>🇸🇪</v>
      </c>
      <c r="AL48" s="37" t="str">
        <f ca="1">IFERROR(INDEX($BD$6:$BD$53,MATCH(AI48,$BN$6:$BN$53,0)),"")</f>
        <v>Suecia</v>
      </c>
      <c r="AM48" s="38">
        <f t="shared" ca="1" si="147"/>
        <v>0</v>
      </c>
      <c r="AN48" s="39">
        <f t="shared" ca="1" si="147"/>
        <v>0</v>
      </c>
      <c r="AO48" s="39">
        <f t="shared" ca="1" si="147"/>
        <v>0</v>
      </c>
      <c r="AP48" s="39">
        <f t="shared" ca="1" si="147"/>
        <v>0</v>
      </c>
      <c r="AQ48" s="39">
        <f t="shared" ca="1" si="147"/>
        <v>0</v>
      </c>
      <c r="AR48" s="39">
        <f t="shared" ca="1" si="147"/>
        <v>0</v>
      </c>
      <c r="AS48" s="39">
        <f t="shared" ca="1" si="147"/>
        <v>0</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0</v>
      </c>
      <c r="BG48" s="16">
        <f t="shared" ca="1" si="17"/>
        <v>0</v>
      </c>
      <c r="BH48" s="16">
        <f t="shared" ca="1" si="18"/>
        <v>0</v>
      </c>
      <c r="BI48" s="16">
        <f t="shared" ca="1" si="19"/>
        <v>0</v>
      </c>
      <c r="BJ48" s="16">
        <f t="shared" ca="1" si="20"/>
        <v>0</v>
      </c>
      <c r="BK48" s="16">
        <f t="shared" ca="1" si="21"/>
        <v>0</v>
      </c>
      <c r="BL48" s="16">
        <f t="shared" ca="1" si="42"/>
        <v>0</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1</v>
      </c>
      <c r="BT48" s="16" t="str">
        <f ca="1">IF(COUNTIFS($BS$6:$BS$53,BS48,$BC$6:$BC$53,INDEX(T_Equipos[Grupo],MATCH(BD48,T_Equipos[NombreEquipo],0)))=1,"-","P."&amp;BS48&amp;" ("&amp;COUNTIFS($BS$6:$BS$53,BS48,$BC$6:$BC$53,INDEX(T_Equipos[Grupo],MATCH(BD48,T_Equipos[NombreEquipo],0)))&amp;")")</f>
        <v>P.1 (4)</v>
      </c>
      <c r="BU48" s="16">
        <f t="shared" ca="1" si="24"/>
        <v>0</v>
      </c>
      <c r="BV48" s="16">
        <f t="shared" ca="1" si="25"/>
        <v>0</v>
      </c>
      <c r="BW48" s="16">
        <f t="shared" ca="1" si="26"/>
        <v>0</v>
      </c>
      <c r="BX48" s="16">
        <f t="shared" ca="1" si="48"/>
        <v>0</v>
      </c>
      <c r="BY48" s="16">
        <f ca="1">BS48+COUNTIFS($BT$6:$BT$53,BT48,$BX$6:BX$53,"&gt;"&amp;BX48,$BC$6:$BC$53,INDEX(T_Equipos[Grupo],MATCH(BD48,T_Equipos[NombreEquipo],0)))</f>
        <v>1</v>
      </c>
      <c r="BZ48" s="16" t="str">
        <f ca="1">IF(COUNTIFS($BY$6:$BY$53,BY48,$BC$6:$BC$53,INDEX(T_Equipos[Grupo],MATCH(BD48,T_Equipos[NombreEquipo],0)))=1,"-","P."&amp;BY48&amp;" ("&amp;COUNTIFS($BY$6:$BY$53,BY48,$BC$6:$BC$53,INDEX(T_Equipos[Grupo],MATCH(BD48,T_Equipos[NombreEquipo],0)))&amp;")")</f>
        <v>P.1 (4)</v>
      </c>
      <c r="CA48" s="16">
        <f t="shared" ca="1" si="27"/>
        <v>0</v>
      </c>
      <c r="CB48" s="16">
        <f t="shared" ca="1" si="28"/>
        <v>0</v>
      </c>
      <c r="CC48" s="16">
        <f t="shared" ca="1" si="49"/>
        <v>0</v>
      </c>
      <c r="CD48" s="16">
        <f ca="1">BY48+COUNTIFS($BZ$6:$BZ$53,BZ48,$CC$6:CC$53,"&gt;"&amp;CC48,$BC$6:$BC$53,INDEX(T_Equipos[Grupo],MATCH(BD48,T_Equipos[NombreEquipo],0)))</f>
        <v>1</v>
      </c>
      <c r="CE48" s="16" t="str">
        <f ca="1">IF(COUNTIFS($CD$6:$CD$53,CD48,$BC$6:$BC$53,INDEX(T_Equipos[Grupo],MATCH(BD48,T_Equipos[NombreEquipo],0)))=1,"-","P."&amp;CD48&amp;" ("&amp;COUNTIFS($CD$6:$CD$53,CD48,$BC$6:$BC$53,INDEX(T_Equipos[Grupo],MATCH(BD48,T_Equipos[NombreEquipo],0)))&amp;")")</f>
        <v>P.1 (4)</v>
      </c>
      <c r="CF48" s="16">
        <f t="shared" ca="1" si="29"/>
        <v>0</v>
      </c>
      <c r="CG48" s="16">
        <f ca="1">CD48+COUNTIFS($CE$6:$CE$53,CE48,$CF$6:CF$53,"&gt;"&amp;CF48,$BC$6:$BC$53,INDEX(T_Equipos[Grupo],MATCH(BD48,T_Equipos[NombreEquipo],0)))</f>
        <v>1</v>
      </c>
      <c r="CH48" s="16" t="str">
        <f ca="1">IF(COUNTIFS($CG$6:$CG$53,CG48,$BC$6:$BC$53,INDEX(T_Equipos[Grupo],MATCH(BD48,T_Equipos[NombreEquipo],0)))=1,"-","P."&amp;CG48&amp;" ("&amp;COUNTIFS($CG$6:$CG$53,CG48,$BC$6:$BC$53,INDEX(T_Equipos[Grupo],MATCH(BD48,T_Equipos[NombreEquipo],0)))&amp;")")</f>
        <v>P.1 (4)</v>
      </c>
      <c r="CI48" s="16">
        <f t="shared" ca="1" si="30"/>
        <v>0</v>
      </c>
      <c r="CJ48" s="16">
        <f t="shared" ca="1" si="31"/>
        <v>0</v>
      </c>
      <c r="CK48" s="16">
        <f t="shared" ca="1" si="32"/>
        <v>0</v>
      </c>
      <c r="CL48" s="16">
        <f t="shared" ca="1" si="50"/>
        <v>0</v>
      </c>
      <c r="CM48" s="16">
        <f ca="1">CG48+COUNTIFS($CH$6:$CH$53,CH48,$CL$6:CL$53,"&gt;"&amp;CL48,$BC$6:$BC$53,INDEX(T_Equipos[Grupo],MATCH(BD48,T_Equipos[NombreEquipo],0)))</f>
        <v>1</v>
      </c>
      <c r="CN48" s="16" t="str">
        <f ca="1">IF(COUNTIFS($CM$6:$CM$53,CM48,$BC$6:$BC$53,INDEX(T_Equipos[Grupo],MATCH(BD48,T_Equipos[NombreEquipo],0)))=1,"-","P."&amp;CM48&amp;" ("&amp;COUNTIFS($CM$6:$CM$53,CM48,$BC$6:$BC$53,INDEX(T_Equipos[Grupo],MATCH(BD48,T_Equipos[NombreEquipo],0)))&amp;")")</f>
        <v>P.1 (4)</v>
      </c>
      <c r="CO48" s="16">
        <f t="shared" ca="1" si="33"/>
        <v>0</v>
      </c>
      <c r="CP48" s="16">
        <f t="shared" ca="1" si="34"/>
        <v>0</v>
      </c>
      <c r="CQ48" s="16">
        <f t="shared" ca="1" si="51"/>
        <v>0</v>
      </c>
      <c r="CR48" s="16">
        <f ca="1">CM48+COUNTIFS($CN$6:$CN$53,CN48,$CQ$6:CQ$53,"&gt;"&amp;CQ48,$BC$6:$BC$53,INDEX(T_Equipos[Grupo],MATCH(BD48,T_Equipos[NombreEquipo],0)))</f>
        <v>1</v>
      </c>
      <c r="CS48" s="16" t="str">
        <f ca="1">IF(COUNTIFS($CR$6:$CR$53,CR48,$BC$6:$BC$53,INDEX(T_Equipos[Grupo],MATCH(BD48,T_Equipos[NombreEquipo],0)))=1,"-","P."&amp;CR48&amp;" ("&amp;COUNTIFS($CR$6:$CR$53,CR48,$BC$6:$BC$53,INDEX(T_Equipos[Grupo],MATCH(BD48,T_Equipos[NombreEquipo],0)))&amp;")")</f>
        <v>P.1 (4)</v>
      </c>
      <c r="CT48" s="16">
        <f t="shared" ca="1" si="35"/>
        <v>0</v>
      </c>
      <c r="CU48" s="16">
        <f ca="1">CR48+COUNTIFS($CS$6:$CS$53,CS48,$CT$6:CT$53,"&gt;"&amp;CT48,$BC$6:$BC$53,INDEX(T_Equipos[Grupo],MATCH(BD48,T_Equipos[NombreEquipo],0)))</f>
        <v>1</v>
      </c>
      <c r="CV48" s="16" t="str">
        <f ca="1">IF(COUNTIFS($CU$6:$CU$53,CU48,$BC$6:$BC$53,INDEX(T_Equipos[Grupo],MATCH(BD48,T_Equipos[NombreEquipo],0)))=1,"-","P."&amp;CU48&amp;" ("&amp;COUNTIFS($CU$6:$CU$53,CU48,$BC$6:$BC$53,INDEX(T_Equipos[Grupo],MATCH(BD48,T_Equipos[NombreEquipo],0)))&amp;")")</f>
        <v>P.1 (4)</v>
      </c>
      <c r="CW48" s="16">
        <f t="shared" ca="1" si="36"/>
        <v>0</v>
      </c>
      <c r="CX48" s="16">
        <f ca="1">CU48+COUNTIFS($CV$6:$CV$53,CV48,$CW$6:CW$53,"&gt;"&amp;CW48,$BC$6:$BC$53,INDEX(T_Equipos[Grupo],MATCH(BD48,T_Equipos[NombreEquipo],0)))</f>
        <v>1</v>
      </c>
      <c r="CY48" s="16" t="str">
        <f ca="1">IF(COUNTIFS($CX$6:$CX$53,CX48,$BC$6:$BC$53,INDEX(T_Equipos[Grupo],MATCH(BD48,T_Equipos[NombreEquipo],0)))=1,"-","P."&amp;CX48&amp;" ("&amp;COUNTIFS($CX$6:$CX$53,CX48,$BC$6:$BC$53,INDEX(T_Equipos[Grupo],MATCH(BD48,T_Equipos[NombreEquipo],0)))&amp;")")</f>
        <v>P.1 (4)</v>
      </c>
      <c r="CZ48" s="16">
        <f t="shared" ca="1" si="37"/>
        <v>0</v>
      </c>
      <c r="DA48" s="16">
        <f ca="1">CX48+COUNTIFS($CY$6:$CY$53,CY48,$CZ$6:CZ$53,"&gt;"&amp;CZ48,$BC$6:$BC$53,INDEX(T_Equipos[Grupo],MATCH(BD48,T_Equipos[NombreEquipo],0)))</f>
        <v>1</v>
      </c>
      <c r="DB48" s="16" t="str">
        <f ca="1">IF(COUNTIFS($DA$6:$DA$53,DA48,$BC$6:$BC$53,INDEX(T_Equipos[Grupo],MATCH(BD48,T_Equipos[NombreEquipo],0)))=1,"-","P."&amp;DA48&amp;" ("&amp;COUNTIFS($DA$6:$DA$53,DA48,$BC$6:$BC$53,INDEX(T_Equipos[Grupo],MATCH(BD48,T_Equipos[NombreEquipo],0)))&amp;")")</f>
        <v>P.1 (4)</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3</v>
      </c>
      <c r="DE48" s="16"/>
      <c r="DF48" s="16">
        <f t="shared" ca="1" si="52"/>
        <v>3</v>
      </c>
      <c r="DG48" s="16">
        <f ca="1">IF(DB48="-","-",COUNTIFS(DF$6:DF$53,"&lt;"&amp;DF48,$BC$6:$BC$53,INDEX(T_Equipos[Grupo],MATCH(BD48,T_Equipos[NombreEquipo],0))))</f>
        <v>2</v>
      </c>
      <c r="DH48" s="16">
        <f ca="1">DA48+COUNTIFS(DB$6:DB$53,DB48,DG$6:DG$53,"&lt;"&amp;DG48,$BC$6:$BC$53,INDEX(T_Equipos[Grupo],MATCH(BD48,T_Equipos[NombreEquipo],0)))</f>
        <v>3</v>
      </c>
      <c r="DI48" s="16"/>
      <c r="DJ48" s="16">
        <f t="shared" ca="1" si="38"/>
        <v>1</v>
      </c>
      <c r="DK48" s="16">
        <f t="shared" ca="1" si="39"/>
        <v>0</v>
      </c>
      <c r="DL48" s="16">
        <f t="shared" ca="1" si="40"/>
        <v>1</v>
      </c>
      <c r="DM48" s="16" t="str">
        <f t="shared" ca="1" si="46"/>
        <v>1.1</v>
      </c>
      <c r="DN48" s="16" cm="1">
        <f t="array" aca="1" ref="DN48" ca="1">OFFSET(Horarios!$P$3,DJ48-1,0,DL48,1)</f>
        <v>1</v>
      </c>
      <c r="DO48" s="16"/>
      <c r="DP48" s="16" t="s">
        <v>452</v>
      </c>
      <c r="DQ48" s="16" t="str">
        <f t="shared" ca="1" si="47"/>
        <v>Uzbekistán</v>
      </c>
    </row>
    <row r="49" spans="1:121" ht="16" customHeight="1" thickBot="1" x14ac:dyDescent="0.25">
      <c r="A49" s="16"/>
      <c r="B49" s="16"/>
      <c r="C49" s="16"/>
      <c r="D49" s="16" t="str">
        <f t="shared" si="131"/>
        <v>Pendiente</v>
      </c>
      <c r="E49" s="16" t="str">
        <f t="shared" si="132"/>
        <v>-</v>
      </c>
      <c r="F49" s="16" t="str">
        <f t="shared" si="133"/>
        <v>-</v>
      </c>
      <c r="G49" s="16"/>
      <c r="H49" s="16" t="str">
        <f t="shared" si="134"/>
        <v>-</v>
      </c>
      <c r="I49" s="16" t="str">
        <f t="shared" si="135"/>
        <v>-</v>
      </c>
      <c r="J49" s="16"/>
      <c r="K49" s="16" t="str">
        <f t="shared" si="136"/>
        <v>-</v>
      </c>
      <c r="L49" s="16" t="str">
        <f t="shared" si="137"/>
        <v>-</v>
      </c>
      <c r="M49" s="16"/>
      <c r="N49" s="16" t="str">
        <f t="shared" si="138"/>
        <v>-</v>
      </c>
      <c r="O49" s="16" t="str">
        <f t="shared" si="139"/>
        <v>-</v>
      </c>
      <c r="P49" s="16"/>
      <c r="Q49" s="16" t="str">
        <f t="shared" si="140"/>
        <v>-</v>
      </c>
      <c r="R49" s="16" t="str">
        <f t="shared" si="141"/>
        <v>-</v>
      </c>
      <c r="S49" s="16"/>
      <c r="T49" s="16" t="str">
        <f t="shared" si="142"/>
        <v>-</v>
      </c>
      <c r="U49" s="16" t="str">
        <f t="shared" si="143"/>
        <v>-</v>
      </c>
      <c r="V49" s="17"/>
      <c r="W49" s="647"/>
      <c r="X49" s="28">
        <f ca="1">Horarios!C49</f>
        <v>46199.041666666664</v>
      </c>
      <c r="Y49" s="29">
        <f ca="1">Horarios!C49</f>
        <v>46199.041666666664</v>
      </c>
      <c r="Z49" s="30" t="str">
        <f>$Z$8</f>
        <v>J3</v>
      </c>
      <c r="AA49" s="31" t="str">
        <f ca="1">A48</f>
        <v>Túnez</v>
      </c>
      <c r="AB49" s="52" t="str" cm="1">
        <f t="array" aca="1" ref="AB49" ca="1">Ver_flag_local</f>
        <v>🇹🇳</v>
      </c>
      <c r="AC49" s="53"/>
      <c r="AD49" s="54"/>
      <c r="AE49" s="596" t="str" cm="1">
        <f t="array" aca="1" ref="AE49" ca="1">Ver_flag_visit</f>
        <v>🇳🇱</v>
      </c>
      <c r="AF49" s="33" t="str">
        <f ca="1">A45</f>
        <v>Países Bajos</v>
      </c>
      <c r="AG49" s="323">
        <f t="shared" si="144"/>
        <v>0</v>
      </c>
      <c r="AH49" s="195">
        <v>58</v>
      </c>
      <c r="AI49" s="181" t="str">
        <f t="shared" si="148"/>
        <v>4F</v>
      </c>
      <c r="AJ49" s="44">
        <v>4</v>
      </c>
      <c r="AK49" s="604" t="str" cm="1">
        <f t="array" aca="1" ref="AK49" ca="1">Ver_flag_visit</f>
        <v>🇹🇳</v>
      </c>
      <c r="AL49" s="45" t="str">
        <f ca="1">IFERROR(INDEX($BD$6:$BD$53,MATCH(AI49,$BN$6:$BN$53,0)),"")</f>
        <v>Túnez</v>
      </c>
      <c r="AM49" s="46">
        <f t="shared" ca="1" si="147"/>
        <v>0</v>
      </c>
      <c r="AN49" s="47">
        <f t="shared" ca="1" si="147"/>
        <v>0</v>
      </c>
      <c r="AO49" s="47">
        <f t="shared" ca="1" si="147"/>
        <v>0</v>
      </c>
      <c r="AP49" s="47">
        <f t="shared" ca="1" si="147"/>
        <v>0</v>
      </c>
      <c r="AQ49" s="47">
        <f t="shared" ca="1" si="147"/>
        <v>0</v>
      </c>
      <c r="AR49" s="47">
        <f t="shared" ca="1" si="147"/>
        <v>0</v>
      </c>
      <c r="AS49" s="47">
        <f t="shared" ca="1" si="147"/>
        <v>0</v>
      </c>
      <c r="AT49" s="48">
        <f t="shared" ca="1" si="147"/>
        <v>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0</v>
      </c>
      <c r="BF49" s="16">
        <f t="shared" ca="1" si="41"/>
        <v>0</v>
      </c>
      <c r="BG49" s="16">
        <f t="shared" ca="1" si="17"/>
        <v>0</v>
      </c>
      <c r="BH49" s="16">
        <f t="shared" ca="1" si="18"/>
        <v>0</v>
      </c>
      <c r="BI49" s="16">
        <f t="shared" ca="1" si="19"/>
        <v>0</v>
      </c>
      <c r="BJ49" s="16">
        <f t="shared" ca="1" si="20"/>
        <v>0</v>
      </c>
      <c r="BK49" s="16">
        <f t="shared" ca="1" si="21"/>
        <v>0</v>
      </c>
      <c r="BL49" s="16">
        <f t="shared" ca="1" si="42"/>
        <v>0</v>
      </c>
      <c r="BM49" s="16" t="str">
        <f t="shared" ca="1" si="22"/>
        <v>4K</v>
      </c>
      <c r="BN49" s="16" t="str">
        <f t="shared" ca="1" si="23"/>
        <v>4K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0</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(4)</v>
      </c>
      <c r="BU49" s="16">
        <f t="shared" ca="1" si="24"/>
        <v>0</v>
      </c>
      <c r="BV49" s="16">
        <f t="shared" ca="1" si="25"/>
        <v>0</v>
      </c>
      <c r="BW49" s="16">
        <f t="shared" ca="1" si="26"/>
        <v>0</v>
      </c>
      <c r="BX49" s="16">
        <f t="shared" ca="1" si="48"/>
        <v>0</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(4)</v>
      </c>
      <c r="CA49" s="16">
        <f t="shared" ca="1" si="27"/>
        <v>0</v>
      </c>
      <c r="CB49" s="16">
        <f t="shared" ca="1" si="28"/>
        <v>0</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(4)</v>
      </c>
      <c r="CF49" s="16">
        <f t="shared" ca="1" si="29"/>
        <v>0</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(4)</v>
      </c>
      <c r="CI49" s="16">
        <f t="shared" ca="1" si="30"/>
        <v>0</v>
      </c>
      <c r="CJ49" s="16">
        <f t="shared" ca="1" si="31"/>
        <v>0</v>
      </c>
      <c r="CK49" s="16">
        <f t="shared" ca="1" si="32"/>
        <v>0</v>
      </c>
      <c r="CL49" s="16">
        <f t="shared" ca="1" si="50"/>
        <v>0</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(4)</v>
      </c>
      <c r="CO49" s="16">
        <f t="shared" ca="1" si="33"/>
        <v>0</v>
      </c>
      <c r="CP49" s="16">
        <f t="shared" ca="1" si="34"/>
        <v>0</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(4)</v>
      </c>
      <c r="CT49" s="16">
        <f t="shared" ca="1" si="35"/>
        <v>0</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(4)</v>
      </c>
      <c r="CW49" s="16">
        <f t="shared" ca="1" si="36"/>
        <v>0</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(4)</v>
      </c>
      <c r="CZ49" s="16">
        <f t="shared" ca="1" si="37"/>
        <v>0</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(4)</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4</v>
      </c>
      <c r="DE49" s="16"/>
      <c r="DF49" s="16">
        <f t="shared" ca="1" si="52"/>
        <v>4</v>
      </c>
      <c r="DG49" s="16">
        <f ca="1">IF(DB49="-","-",COUNTIFS(DF$6:DF$53,"&lt;"&amp;DF49,$BC$6:$BC$53,INDEX(T_Equipos[Grupo],MATCH(BD49,T_Equipos[NombreEquipo],0))))</f>
        <v>3</v>
      </c>
      <c r="DH49" s="16">
        <f ca="1">DA49+COUNTIFS(DB$6:DB$53,DB49,DG$6:DG$53,"&lt;"&amp;DG49,$BC$6:$BC$53,INDEX(T_Equipos[Grupo],MATCH(BD49,T_Equipos[NombreEquipo],0)))</f>
        <v>4</v>
      </c>
      <c r="DI49" s="16"/>
      <c r="DJ49" s="16">
        <f t="shared" ca="1" si="38"/>
        <v>1</v>
      </c>
      <c r="DK49" s="16">
        <f t="shared" ca="1" si="39"/>
        <v>0</v>
      </c>
      <c r="DL49" s="16">
        <f t="shared" ca="1" si="40"/>
        <v>1</v>
      </c>
      <c r="DM49" s="16" t="str">
        <f t="shared" ca="1" si="46"/>
        <v>1.1</v>
      </c>
      <c r="DN49" s="16" cm="1">
        <f t="array" aca="1" ref="DN49" ca="1">OFFSET(Horarios!$P$3,DJ49-1,0,DL49,1)</f>
        <v>1</v>
      </c>
      <c r="DO49" s="16"/>
      <c r="DP49" s="16" t="s">
        <v>693</v>
      </c>
      <c r="DQ49" s="16" t="str">
        <f t="shared" ca="1" si="47"/>
        <v>Colombia</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0</v>
      </c>
      <c r="BF50" s="16">
        <f t="shared" ca="1" si="41"/>
        <v>0</v>
      </c>
      <c r="BG50" s="16">
        <f t="shared" ca="1" si="17"/>
        <v>0</v>
      </c>
      <c r="BH50" s="16">
        <f t="shared" ca="1" si="18"/>
        <v>0</v>
      </c>
      <c r="BI50" s="16">
        <f t="shared" ca="1" si="19"/>
        <v>0</v>
      </c>
      <c r="BJ50" s="16">
        <f t="shared" ca="1" si="20"/>
        <v>0</v>
      </c>
      <c r="BK50" s="16">
        <f t="shared" ca="1" si="21"/>
        <v>0</v>
      </c>
      <c r="BL50" s="16">
        <f t="shared" ca="1" si="42"/>
        <v>0</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0</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(4)</v>
      </c>
      <c r="BU50" s="16">
        <f t="shared" ca="1" si="24"/>
        <v>0</v>
      </c>
      <c r="BV50" s="16">
        <f t="shared" ca="1" si="25"/>
        <v>0</v>
      </c>
      <c r="BW50" s="16">
        <f t="shared" ca="1" si="26"/>
        <v>0</v>
      </c>
      <c r="BX50" s="16">
        <f t="shared" ca="1" si="48"/>
        <v>0</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(4)</v>
      </c>
      <c r="CA50" s="16">
        <f t="shared" ca="1" si="27"/>
        <v>0</v>
      </c>
      <c r="CB50" s="16">
        <f t="shared" ca="1" si="28"/>
        <v>0</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(4)</v>
      </c>
      <c r="CF50" s="16">
        <f t="shared" ca="1" si="29"/>
        <v>0</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(4)</v>
      </c>
      <c r="CI50" s="16">
        <f t="shared" ca="1" si="30"/>
        <v>0</v>
      </c>
      <c r="CJ50" s="16">
        <f t="shared" ca="1" si="31"/>
        <v>0</v>
      </c>
      <c r="CK50" s="16">
        <f t="shared" ca="1" si="32"/>
        <v>0</v>
      </c>
      <c r="CL50" s="16">
        <f t="shared" ca="1" si="50"/>
        <v>0</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(4)</v>
      </c>
      <c r="CO50" s="16">
        <f t="shared" ca="1" si="33"/>
        <v>0</v>
      </c>
      <c r="CP50" s="16">
        <f t="shared" ca="1" si="34"/>
        <v>0</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(4)</v>
      </c>
      <c r="CT50" s="16">
        <f t="shared" ca="1" si="35"/>
        <v>0</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(4)</v>
      </c>
      <c r="CW50" s="16">
        <f t="shared" ca="1" si="36"/>
        <v>0</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(4)</v>
      </c>
      <c r="CZ50" s="16">
        <f t="shared" ca="1" si="37"/>
        <v>0</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P.1 (4)</v>
      </c>
      <c r="DC50" s="16">
        <f ca="1">IF(DB50="-","-",COUNTIFS(T_Equipos[Rank],"&lt;"&amp;INDEX(T_Equipos[Rank],MATCH(BD50,T_Equipos[NombreEquipo],0)),$BC$6:$BC$53,INDEX(T_Equipos[Grupo],MATCH(BD50,T_Equipos[NombreEquipo],0)))+1)</f>
        <v>1</v>
      </c>
      <c r="DD50" s="16">
        <f ca="1">DA50+COUNTIFS($DB$6:$DB$53,DB50,$DC$6:DC$53,"&lt;"&amp;DC50,$BC$6:$BC$53,INDEX(T_Equipos[Grupo],MATCH(BD50,T_Equipos[NombreEquipo],0)))</f>
        <v>1</v>
      </c>
      <c r="DE50" s="16"/>
      <c r="DF50" s="16">
        <f t="shared" ca="1" si="52"/>
        <v>1</v>
      </c>
      <c r="DG50" s="16">
        <f ca="1">IF(DB50="-","-",COUNTIFS(DF$6:DF$53,"&lt;"&amp;DF50,$BC$6:$BC$53,INDEX(T_Equipos[Grupo],MATCH(BD50,T_Equipos[NombreEquipo],0))))</f>
        <v>0</v>
      </c>
      <c r="DH50" s="16">
        <f ca="1">DA50+COUNTIFS(DB$6:DB$53,DB50,DG$6:DG$53,"&lt;"&amp;DG50,$BC$6:$BC$53,INDEX(T_Equipos[Grupo],MATCH(BD50,T_Equipos[NombreEquipo],0)))</f>
        <v>1</v>
      </c>
      <c r="DI50" s="16"/>
      <c r="DJ50" s="16">
        <f t="shared" ca="1" si="38"/>
        <v>1</v>
      </c>
      <c r="DK50" s="16">
        <f t="shared" ca="1" si="39"/>
        <v>0</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0</v>
      </c>
      <c r="BF51" s="16">
        <f t="shared" ca="1" si="41"/>
        <v>0</v>
      </c>
      <c r="BG51" s="16">
        <f t="shared" ca="1" si="17"/>
        <v>0</v>
      </c>
      <c r="BH51" s="16">
        <f t="shared" ca="1" si="18"/>
        <v>0</v>
      </c>
      <c r="BI51" s="16">
        <f t="shared" ca="1" si="19"/>
        <v>0</v>
      </c>
      <c r="BJ51" s="16">
        <f t="shared" ca="1" si="20"/>
        <v>0</v>
      </c>
      <c r="BK51" s="16">
        <f t="shared" ca="1" si="21"/>
        <v>0</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0</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(4)</v>
      </c>
      <c r="BU51" s="16">
        <f t="shared" ca="1" si="24"/>
        <v>0</v>
      </c>
      <c r="BV51" s="16">
        <f t="shared" ca="1" si="25"/>
        <v>0</v>
      </c>
      <c r="BW51" s="16">
        <f t="shared" ca="1" si="26"/>
        <v>0</v>
      </c>
      <c r="BX51" s="16">
        <f t="shared" ca="1" si="48"/>
        <v>0</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(4)</v>
      </c>
      <c r="CA51" s="16">
        <f t="shared" ca="1" si="27"/>
        <v>0</v>
      </c>
      <c r="CB51" s="16">
        <f t="shared" ca="1" si="28"/>
        <v>0</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(4)</v>
      </c>
      <c r="CF51" s="16">
        <f t="shared" ca="1" si="29"/>
        <v>0</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(4)</v>
      </c>
      <c r="CI51" s="16">
        <f t="shared" ca="1" si="30"/>
        <v>0</v>
      </c>
      <c r="CJ51" s="16">
        <f t="shared" ca="1" si="31"/>
        <v>0</v>
      </c>
      <c r="CK51" s="16">
        <f t="shared" ca="1" si="32"/>
        <v>0</v>
      </c>
      <c r="CL51" s="16">
        <f t="shared" ca="1" si="50"/>
        <v>0</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(4)</v>
      </c>
      <c r="CO51" s="16">
        <f t="shared" ca="1" si="33"/>
        <v>0</v>
      </c>
      <c r="CP51" s="16">
        <f t="shared" ca="1" si="34"/>
        <v>0</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(4)</v>
      </c>
      <c r="CT51" s="16">
        <f t="shared" ca="1" si="35"/>
        <v>0</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(4)</v>
      </c>
      <c r="CW51" s="16">
        <f t="shared" ca="1" si="36"/>
        <v>0</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(4)</v>
      </c>
      <c r="CZ51" s="16">
        <f t="shared" ca="1" si="37"/>
        <v>0</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P.1 (4)</v>
      </c>
      <c r="DC51" s="16">
        <f ca="1">IF(DB51="-","-",COUNTIFS(T_Equipos[Rank],"&lt;"&amp;INDEX(T_Equipos[Rank],MATCH(BD51,T_Equipos[NombreEquipo],0)),$BC$6:$BC$53,INDEX(T_Equipos[Grupo],MATCH(BD51,T_Equipos[NombreEquipo],0)))+1)</f>
        <v>2</v>
      </c>
      <c r="DD51" s="16">
        <f ca="1">DA51+COUNTIFS($DB$6:$DB$53,DB51,$DC$6:DC$53,"&lt;"&amp;DC51,$BC$6:$BC$53,INDEX(T_Equipos[Grupo],MATCH(BD51,T_Equipos[NombreEquipo],0)))</f>
        <v>2</v>
      </c>
      <c r="DE51" s="16"/>
      <c r="DF51" s="16">
        <f t="shared" ca="1" si="52"/>
        <v>2</v>
      </c>
      <c r="DG51" s="16">
        <f ca="1">IF(DB51="-","-",COUNTIFS(DF$6:DF$53,"&lt;"&amp;DF51,$BC$6:$BC$53,INDEX(T_Equipos[Grupo],MATCH(BD51,T_Equipos[NombreEquipo],0))))</f>
        <v>1</v>
      </c>
      <c r="DH51" s="16">
        <f ca="1">DA51+COUNTIFS(DB$6:DB$53,DB51,DG$6:DG$53,"&lt;"&amp;DG51,$BC$6:$BC$53,INDEX(T_Equipos[Grupo],MATCH(BD51,T_Equipos[NombreEquipo],0)))</f>
        <v>2</v>
      </c>
      <c r="DI51" s="16"/>
      <c r="DJ51" s="16">
        <f t="shared" ca="1" si="38"/>
        <v>1</v>
      </c>
      <c r="DK51" s="16">
        <f t="shared" ca="1" si="39"/>
        <v>0</v>
      </c>
      <c r="DL51" s="16">
        <f t="shared" ca="1" si="40"/>
        <v>1</v>
      </c>
      <c r="DM51" s="16" t="str">
        <f t="shared" ca="1" si="46"/>
        <v>1.1</v>
      </c>
      <c r="DN51" s="16" cm="1">
        <f t="array" aca="1" ref="DN51" ca="1">OFFSET(Horarios!$P$3,DJ51-1,0,DL51,1)</f>
        <v>1</v>
      </c>
      <c r="DO51" s="16"/>
      <c r="DP51" s="16" t="s">
        <v>695</v>
      </c>
      <c r="DQ51" s="16" t="str">
        <f t="shared" ca="1" si="47"/>
        <v>Croacia</v>
      </c>
    </row>
    <row r="52" spans="1:121" ht="16" customHeight="1" thickBot="1" x14ac:dyDescent="0.25">
      <c r="A52" s="16" t="s">
        <v>32</v>
      </c>
      <c r="B52" s="16" t="s">
        <v>6</v>
      </c>
      <c r="C52" s="16">
        <f>COUNTIF(Equipos!$C$2:$C$49,WORLDCUP!B52)</f>
        <v>4</v>
      </c>
      <c r="D52" s="16" t="str">
        <f t="shared" ref="D52:D57" si="149">IF(OR(AC52="",AD52=""),"Pendiente",IF(AC52&gt;AD52,"Local",IF(AC52&lt;AD52,"Visitante","Empate")))</f>
        <v>Pendiente</v>
      </c>
      <c r="E52" s="16" t="str">
        <f t="shared" ref="E52:E57" si="150">IF(D52="Pendiente","-",INDEX($BT$6:$BT$53,MATCH($AA52,$BD$6:$BD$53,0)))</f>
        <v>-</v>
      </c>
      <c r="F52" s="16" t="str">
        <f t="shared" ref="F52:F57" si="151">IF(D52="Pendiente","-",INDEX($BT$6:$BT$53,MATCH($AF52,$BD$6:$BD$53,0)))</f>
        <v>-</v>
      </c>
      <c r="G52" s="16"/>
      <c r="H52" s="16" t="str">
        <f t="shared" ref="H52:H57" si="152">IF(D52="Pendiente","-",INDEX($BZ$6:$BZ$53,MATCH($AA52,$BD$6:$BD$53,0)))</f>
        <v>-</v>
      </c>
      <c r="I52" s="16" t="str">
        <f t="shared" ref="I52:I57" si="153">IF(D52="Pendiente","-",INDEX($BZ$6:$BZ$53,MATCH($AF52,$BD$6:$BD$53,0)))</f>
        <v>-</v>
      </c>
      <c r="J52" s="16"/>
      <c r="K52" s="16" t="str">
        <f t="shared" ref="K52:K57" si="154">IF(D52="Pendiente","-",INDEX($CE$6:$CE$53,MATCH($AA52,$BD$6:$BD$53,0)))</f>
        <v>-</v>
      </c>
      <c r="L52" s="16" t="str">
        <f t="shared" ref="L52:L57" si="155">IF(D52="Pendiente","-",INDEX($CE$6:$CE$53,MATCH($AF52,$BD$6:$BD$53,0)))</f>
        <v>-</v>
      </c>
      <c r="M52" s="16"/>
      <c r="N52" s="16" t="str">
        <f t="shared" ref="N52:N57" si="156">IF(D52="Pendiente","-",INDEX($CH$6:$CH$53,MATCH($AA52,$BD$6:$BD$53,0)))</f>
        <v>-</v>
      </c>
      <c r="O52" s="16" t="str">
        <f t="shared" ref="O52:O57" si="157">IF(D52="Pendiente","-",INDEX($CH$6:$CH$53,MATCH($AF52,$BD$6:$BD$53,0)))</f>
        <v>-</v>
      </c>
      <c r="P52" s="16"/>
      <c r="Q52" s="16" t="str">
        <f t="shared" ref="Q52:Q57" si="158">IF(D52="Pendiente","-",INDEX($CN$6:$CN$53,MATCH($AA52,$BD$6:$BD$53,0)))</f>
        <v>-</v>
      </c>
      <c r="R52" s="16" t="str">
        <f t="shared" ref="R52:R57" si="159">IF(D52="Pendiente","-",INDEX($CN$6:$CN$53,MATCH($AF52,$BD$6:$BD$53,0)))</f>
        <v>-</v>
      </c>
      <c r="S52" s="16"/>
      <c r="T52" s="16" t="str">
        <f t="shared" ref="T52:T57" si="160">IF(D52="Pendiente","-",INDEX($CS$6:$CS$53,MATCH($AA52,$BD$6:$BD$53,0)))</f>
        <v>-</v>
      </c>
      <c r="U52" s="16" t="str">
        <f t="shared" ref="U52:U57"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v>
      </c>
      <c r="AC52" s="50"/>
      <c r="AD52" s="51"/>
      <c r="AE52" s="595" t="str" cm="1">
        <f t="array" aca="1" ref="AE52" ca="1">Ver_flag_visit</f>
        <v>🇪🇬</v>
      </c>
      <c r="AF52" s="32" t="str">
        <f ca="1">A54</f>
        <v>Egipto</v>
      </c>
      <c r="AG52" s="323">
        <f t="shared" ref="AG52:AG57" si="162">IF(NOT(OR(ISBLANK(AC52),ISBLANK(AD52))),1,0)</f>
        <v>0</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0</v>
      </c>
      <c r="BF52" s="16">
        <f t="shared" ca="1" si="41"/>
        <v>0</v>
      </c>
      <c r="BG52" s="16">
        <f t="shared" ca="1" si="17"/>
        <v>0</v>
      </c>
      <c r="BH52" s="16">
        <f t="shared" ca="1" si="18"/>
        <v>0</v>
      </c>
      <c r="BI52" s="16">
        <f t="shared" ca="1" si="19"/>
        <v>0</v>
      </c>
      <c r="BJ52" s="16">
        <f t="shared" ca="1" si="20"/>
        <v>0</v>
      </c>
      <c r="BK52" s="16">
        <f t="shared" ca="1" si="21"/>
        <v>0</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0</v>
      </c>
      <c r="BS52" s="16">
        <f ca="1">BP52+COUNTIFS($BQ$6:$BQ$53,BQ52,$BR$6:BR$53,"&gt;"&amp;BR52,$BC$6:$BC$53,INDEX(T_Equipos[Grupo],MATCH(BD52,T_Equipos[NombreEquipo],0)))</f>
        <v>1</v>
      </c>
      <c r="BT52" s="16" t="str">
        <f ca="1">IF(COUNTIFS($BS$6:$BS$53,BS52,$BC$6:$BC$53,INDEX(T_Equipos[Grupo],MATCH(BD52,T_Equipos[NombreEquipo],0)))=1,"-","P."&amp;BS52&amp;" ("&amp;COUNTIFS($BS$6:$BS$53,BS52,$BC$6:$BC$53,INDEX(T_Equipos[Grupo],MATCH(BD52,T_Equipos[NombreEquipo],0)))&amp;")")</f>
        <v>P.1 (4)</v>
      </c>
      <c r="BU52" s="16">
        <f t="shared" ca="1" si="24"/>
        <v>0</v>
      </c>
      <c r="BV52" s="16">
        <f t="shared" ca="1" si="25"/>
        <v>0</v>
      </c>
      <c r="BW52" s="16">
        <f t="shared" ca="1" si="26"/>
        <v>0</v>
      </c>
      <c r="BX52" s="16">
        <f t="shared" ca="1" si="48"/>
        <v>0</v>
      </c>
      <c r="BY52" s="16">
        <f ca="1">BS52+COUNTIFS($BT$6:$BT$53,BT52,$BX$6:BX$53,"&gt;"&amp;BX52,$BC$6:$BC$53,INDEX(T_Equipos[Grupo],MATCH(BD52,T_Equipos[NombreEquipo],0)))</f>
        <v>1</v>
      </c>
      <c r="BZ52" s="16" t="str">
        <f ca="1">IF(COUNTIFS($BY$6:$BY$53,BY52,$BC$6:$BC$53,INDEX(T_Equipos[Grupo],MATCH(BD52,T_Equipos[NombreEquipo],0)))=1,"-","P."&amp;BY52&amp;" ("&amp;COUNTIFS($BY$6:$BY$53,BY52,$BC$6:$BC$53,INDEX(T_Equipos[Grupo],MATCH(BD52,T_Equipos[NombreEquipo],0)))&amp;")")</f>
        <v>P.1 (4)</v>
      </c>
      <c r="CA52" s="16">
        <f t="shared" ca="1" si="27"/>
        <v>0</v>
      </c>
      <c r="CB52" s="16">
        <f t="shared" ca="1" si="28"/>
        <v>0</v>
      </c>
      <c r="CC52" s="16">
        <f t="shared" ca="1" si="49"/>
        <v>0</v>
      </c>
      <c r="CD52" s="16">
        <f ca="1">BY52+COUNTIFS($BZ$6:$BZ$53,BZ52,$CC$6:CC$53,"&gt;"&amp;CC52,$BC$6:$BC$53,INDEX(T_Equipos[Grupo],MATCH(BD52,T_Equipos[NombreEquipo],0)))</f>
        <v>1</v>
      </c>
      <c r="CE52" s="16" t="str">
        <f ca="1">IF(COUNTIFS($CD$6:$CD$53,CD52,$BC$6:$BC$53,INDEX(T_Equipos[Grupo],MATCH(BD52,T_Equipos[NombreEquipo],0)))=1,"-","P."&amp;CD52&amp;" ("&amp;COUNTIFS($CD$6:$CD$53,CD52,$BC$6:$BC$53,INDEX(T_Equipos[Grupo],MATCH(BD52,T_Equipos[NombreEquipo],0)))&amp;")")</f>
        <v>P.1 (4)</v>
      </c>
      <c r="CF52" s="16">
        <f t="shared" ca="1" si="29"/>
        <v>0</v>
      </c>
      <c r="CG52" s="16">
        <f ca="1">CD52+COUNTIFS($CE$6:$CE$53,CE52,$CF$6:CF$53,"&gt;"&amp;CF52,$BC$6:$BC$53,INDEX(T_Equipos[Grupo],MATCH(BD52,T_Equipos[NombreEquipo],0)))</f>
        <v>1</v>
      </c>
      <c r="CH52" s="16" t="str">
        <f ca="1">IF(COUNTIFS($CG$6:$CG$53,CG52,$BC$6:$BC$53,INDEX(T_Equipos[Grupo],MATCH(BD52,T_Equipos[NombreEquipo],0)))=1,"-","P."&amp;CG52&amp;" ("&amp;COUNTIFS($CG$6:$CG$53,CG52,$BC$6:$BC$53,INDEX(T_Equipos[Grupo],MATCH(BD52,T_Equipos[NombreEquipo],0)))&amp;")")</f>
        <v>P.1 (4)</v>
      </c>
      <c r="CI52" s="16">
        <f t="shared" ca="1" si="30"/>
        <v>0</v>
      </c>
      <c r="CJ52" s="16">
        <f t="shared" ca="1" si="31"/>
        <v>0</v>
      </c>
      <c r="CK52" s="16">
        <f t="shared" ca="1" si="32"/>
        <v>0</v>
      </c>
      <c r="CL52" s="16">
        <f t="shared" ca="1" si="50"/>
        <v>0</v>
      </c>
      <c r="CM52" s="16">
        <f ca="1">CG52+COUNTIFS($CH$6:$CH$53,CH52,$CL$6:CL$53,"&gt;"&amp;CL52,$BC$6:$BC$53,INDEX(T_Equipos[Grupo],MATCH(BD52,T_Equipos[NombreEquipo],0)))</f>
        <v>1</v>
      </c>
      <c r="CN52" s="16" t="str">
        <f ca="1">IF(COUNTIFS($CM$6:$CM$53,CM52,$BC$6:$BC$53,INDEX(T_Equipos[Grupo],MATCH(BD52,T_Equipos[NombreEquipo],0)))=1,"-","P."&amp;CM52&amp;" ("&amp;COUNTIFS($CM$6:$CM$53,CM52,$BC$6:$BC$53,INDEX(T_Equipos[Grupo],MATCH(BD52,T_Equipos[NombreEquipo],0)))&amp;")")</f>
        <v>P.1 (4)</v>
      </c>
      <c r="CO52" s="16">
        <f t="shared" ca="1" si="33"/>
        <v>0</v>
      </c>
      <c r="CP52" s="16">
        <f t="shared" ca="1" si="34"/>
        <v>0</v>
      </c>
      <c r="CQ52" s="16">
        <f t="shared" ca="1" si="51"/>
        <v>0</v>
      </c>
      <c r="CR52" s="16">
        <f ca="1">CM52+COUNTIFS($CN$6:$CN$53,CN52,$CQ$6:CQ$53,"&gt;"&amp;CQ52,$BC$6:$BC$53,INDEX(T_Equipos[Grupo],MATCH(BD52,T_Equipos[NombreEquipo],0)))</f>
        <v>1</v>
      </c>
      <c r="CS52" s="16" t="str">
        <f ca="1">IF(COUNTIFS($CR$6:$CR$53,CR52,$BC$6:$BC$53,INDEX(T_Equipos[Grupo],MATCH(BD52,T_Equipos[NombreEquipo],0)))=1,"-","P."&amp;CR52&amp;" ("&amp;COUNTIFS($CR$6:$CR$53,CR52,$BC$6:$BC$53,INDEX(T_Equipos[Grupo],MATCH(BD52,T_Equipos[NombreEquipo],0)))&amp;")")</f>
        <v>P.1 (4)</v>
      </c>
      <c r="CT52" s="16">
        <f t="shared" ca="1" si="35"/>
        <v>0</v>
      </c>
      <c r="CU52" s="16">
        <f ca="1">CR52+COUNTIFS($CS$6:$CS$53,CS52,$CT$6:CT$53,"&gt;"&amp;CT52,$BC$6:$BC$53,INDEX(T_Equipos[Grupo],MATCH(BD52,T_Equipos[NombreEquipo],0)))</f>
        <v>1</v>
      </c>
      <c r="CV52" s="16" t="str">
        <f ca="1">IF(COUNTIFS($CU$6:$CU$53,CU52,$BC$6:$BC$53,INDEX(T_Equipos[Grupo],MATCH(BD52,T_Equipos[NombreEquipo],0)))=1,"-","P."&amp;CU52&amp;" ("&amp;COUNTIFS($CU$6:$CU$53,CU52,$BC$6:$BC$53,INDEX(T_Equipos[Grupo],MATCH(BD52,T_Equipos[NombreEquipo],0)))&amp;")")</f>
        <v>P.1 (4)</v>
      </c>
      <c r="CW52" s="16">
        <f t="shared" ca="1" si="36"/>
        <v>0</v>
      </c>
      <c r="CX52" s="16">
        <f ca="1">CU52+COUNTIFS($CV$6:$CV$53,CV52,$CW$6:CW$53,"&gt;"&amp;CW52,$BC$6:$BC$53,INDEX(T_Equipos[Grupo],MATCH(BD52,T_Equipos[NombreEquipo],0)))</f>
        <v>1</v>
      </c>
      <c r="CY52" s="16" t="str">
        <f ca="1">IF(COUNTIFS($CX$6:$CX$53,CX52,$BC$6:$BC$53,INDEX(T_Equipos[Grupo],MATCH(BD52,T_Equipos[NombreEquipo],0)))=1,"-","P."&amp;CX52&amp;" ("&amp;COUNTIFS($CX$6:$CX$53,CX52,$BC$6:$BC$53,INDEX(T_Equipos[Grupo],MATCH(BD52,T_Equipos[NombreEquipo],0)))&amp;")")</f>
        <v>P.1 (4)</v>
      </c>
      <c r="CZ52" s="16">
        <f t="shared" ca="1" si="37"/>
        <v>0</v>
      </c>
      <c r="DA52" s="16">
        <f ca="1">CX52+COUNTIFS($CY$6:$CY$53,CY52,$CZ$6:CZ$53,"&gt;"&amp;CZ52,$BC$6:$BC$53,INDEX(T_Equipos[Grupo],MATCH(BD52,T_Equipos[NombreEquipo],0)))</f>
        <v>1</v>
      </c>
      <c r="DB52" s="16" t="str">
        <f ca="1">IF(COUNTIFS($DA$6:$DA$53,DA52,$BC$6:$BC$53,INDEX(T_Equipos[Grupo],MATCH(BD52,T_Equipos[NombreEquipo],0)))=1,"-","P."&amp;DA52&amp;" ("&amp;COUNTIFS($DA$6:$DA$53,DA52,$BC$6:$BC$53,INDEX(T_Equipos[Grupo],MATCH(BD52,T_Equipos[NombreEquipo],0)))&amp;")")</f>
        <v>P.1 (4)</v>
      </c>
      <c r="DC52" s="16">
        <f ca="1">IF(DB52="-","-",COUNTIFS(T_Equipos[Rank],"&lt;"&amp;INDEX(T_Equipos[Rank],MATCH(BD52,T_Equipos[NombreEquipo],0)),$BC$6:$BC$53,INDEX(T_Equipos[Grupo],MATCH(BD52,T_Equipos[NombreEquipo],0)))+1)</f>
        <v>3</v>
      </c>
      <c r="DD52" s="16">
        <f ca="1">DA52+COUNTIFS($DB$6:$DB$53,DB52,$DC$6:DC$53,"&lt;"&amp;DC52,$BC$6:$BC$53,INDEX(T_Equipos[Grupo],MATCH(BD52,T_Equipos[NombreEquipo],0)))</f>
        <v>3</v>
      </c>
      <c r="DE52" s="16"/>
      <c r="DF52" s="16">
        <f t="shared" ca="1" si="52"/>
        <v>3</v>
      </c>
      <c r="DG52" s="16">
        <f ca="1">IF(DB52="-","-",COUNTIFS(DF$6:DF$53,"&lt;"&amp;DF52,$BC$6:$BC$53,INDEX(T_Equipos[Grupo],MATCH(BD52,T_Equipos[NombreEquipo],0))))</f>
        <v>2</v>
      </c>
      <c r="DH52" s="16">
        <f ca="1">DA52+COUNTIFS(DB$6:DB$53,DB52,DG$6:DG$53,"&lt;"&amp;DG52,$BC$6:$BC$53,INDEX(T_Equipos[Grupo],MATCH(BD52,T_Equipos[NombreEquipo],0)))</f>
        <v>3</v>
      </c>
      <c r="DI52" s="16"/>
      <c r="DJ52" s="16">
        <f t="shared" ca="1" si="38"/>
        <v>1</v>
      </c>
      <c r="DK52" s="16">
        <f t="shared" ca="1" si="39"/>
        <v>0</v>
      </c>
      <c r="DL52" s="16">
        <f t="shared" ca="1" si="40"/>
        <v>1</v>
      </c>
      <c r="DM52" s="16" t="str">
        <f t="shared" ca="1" si="46"/>
        <v>1.1</v>
      </c>
      <c r="DN52" s="16" cm="1">
        <f t="array" aca="1" ref="DN52" ca="1">OFFSET(Horarios!$P$3,DJ52-1,0,DL52,1)</f>
        <v>1</v>
      </c>
      <c r="DO52" s="16"/>
      <c r="DP52" s="16" t="s">
        <v>453</v>
      </c>
      <c r="DQ52" s="16" t="str">
        <f t="shared" ca="1" si="47"/>
        <v>Ghana</v>
      </c>
    </row>
    <row r="53" spans="1:121" ht="16" customHeight="1" x14ac:dyDescent="0.2">
      <c r="A53" s="16" t="str">
        <f ca="1">+Equipos!B26</f>
        <v>Bélgica</v>
      </c>
      <c r="B53" s="16"/>
      <c r="C53" s="16"/>
      <c r="D53" s="16" t="str">
        <f t="shared" si="149"/>
        <v>Pendiente</v>
      </c>
      <c r="E53" s="16" t="str">
        <f t="shared" si="150"/>
        <v>-</v>
      </c>
      <c r="F53" s="16" t="str">
        <f t="shared" si="151"/>
        <v>-</v>
      </c>
      <c r="G53" s="16"/>
      <c r="H53" s="16" t="str">
        <f t="shared" si="152"/>
        <v>-</v>
      </c>
      <c r="I53" s="16" t="str">
        <f t="shared" si="153"/>
        <v>-</v>
      </c>
      <c r="J53" s="16"/>
      <c r="K53" s="16" t="str">
        <f t="shared" si="154"/>
        <v>-</v>
      </c>
      <c r="L53" s="16" t="str">
        <f t="shared" si="155"/>
        <v>-</v>
      </c>
      <c r="M53" s="16"/>
      <c r="N53" s="16" t="str">
        <f t="shared" si="156"/>
        <v>-</v>
      </c>
      <c r="O53" s="16" t="str">
        <f t="shared" si="157"/>
        <v>-</v>
      </c>
      <c r="P53" s="16"/>
      <c r="Q53" s="16" t="str">
        <f t="shared" si="158"/>
        <v>-</v>
      </c>
      <c r="R53" s="16" t="str">
        <f t="shared" si="159"/>
        <v>-</v>
      </c>
      <c r="S53" s="16"/>
      <c r="T53" s="16" t="str">
        <f t="shared" si="160"/>
        <v>-</v>
      </c>
      <c r="U53" s="16" t="str">
        <f t="shared" si="161"/>
        <v>-</v>
      </c>
      <c r="V53" s="17"/>
      <c r="W53" s="666"/>
      <c r="X53" s="24">
        <f ca="1">Horarios!C53</f>
        <v>46189.125</v>
      </c>
      <c r="Y53" s="25">
        <f ca="1">Horarios!C53</f>
        <v>46189.125</v>
      </c>
      <c r="Z53" s="26" t="str">
        <f>$Z$4</f>
        <v>J1</v>
      </c>
      <c r="AA53" s="27" t="str">
        <f ca="1">A55</f>
        <v>Irán</v>
      </c>
      <c r="AB53" s="49" t="str" cm="1">
        <f t="array" aca="1" ref="AB53" ca="1">Ver_flag_local</f>
        <v>🇮🇷</v>
      </c>
      <c r="AC53" s="50"/>
      <c r="AD53" s="51"/>
      <c r="AE53" s="595" t="str" cm="1">
        <f t="array" aca="1" ref="AE53" ca="1">Ver_flag_visit</f>
        <v>🇳🇿</v>
      </c>
      <c r="AF53" s="32" t="str">
        <f ca="1">A56</f>
        <v>Nueva Zelanda</v>
      </c>
      <c r="AG53" s="323">
        <f t="shared" si="162"/>
        <v>0</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0</v>
      </c>
      <c r="BG53" s="16">
        <f t="shared" ca="1" si="17"/>
        <v>0</v>
      </c>
      <c r="BH53" s="16">
        <f t="shared" ca="1" si="18"/>
        <v>0</v>
      </c>
      <c r="BI53" s="16">
        <f t="shared" ca="1" si="19"/>
        <v>0</v>
      </c>
      <c r="BJ53" s="16">
        <f t="shared" ca="1" si="20"/>
        <v>0</v>
      </c>
      <c r="BK53" s="16">
        <f t="shared" ca="1" si="21"/>
        <v>0</v>
      </c>
      <c r="BL53" s="16">
        <f t="shared" ca="1" si="42"/>
        <v>0</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1</v>
      </c>
      <c r="BT53" s="16" t="str">
        <f ca="1">IF(COUNTIFS($BS$6:$BS$53,BS53,$BC$6:$BC$53,INDEX(T_Equipos[Grupo],MATCH(BD53,T_Equipos[NombreEquipo],0)))=1,"-","P."&amp;BS53&amp;" ("&amp;COUNTIFS($BS$6:$BS$53,BS53,$BC$6:$BC$53,INDEX(T_Equipos[Grupo],MATCH(BD53,T_Equipos[NombreEquipo],0)))&amp;")")</f>
        <v>P.1 (4)</v>
      </c>
      <c r="BU53" s="16">
        <f t="shared" ca="1" si="24"/>
        <v>0</v>
      </c>
      <c r="BV53" s="16">
        <f t="shared" ca="1" si="25"/>
        <v>0</v>
      </c>
      <c r="BW53" s="16">
        <f t="shared" ca="1" si="26"/>
        <v>0</v>
      </c>
      <c r="BX53" s="16">
        <f t="shared" ca="1" si="48"/>
        <v>0</v>
      </c>
      <c r="BY53" s="16">
        <f ca="1">BS53+COUNTIFS($BT$6:$BT$53,BT53,$BX$6:BX$53,"&gt;"&amp;BX53,$BC$6:$BC$53,INDEX(T_Equipos[Grupo],MATCH(BD53,T_Equipos[NombreEquipo],0)))</f>
        <v>1</v>
      </c>
      <c r="BZ53" s="16" t="str">
        <f ca="1">IF(COUNTIFS($BY$6:$BY$53,BY53,$BC$6:$BC$53,INDEX(T_Equipos[Grupo],MATCH(BD53,T_Equipos[NombreEquipo],0)))=1,"-","P."&amp;BY53&amp;" ("&amp;COUNTIFS($BY$6:$BY$53,BY53,$BC$6:$BC$53,INDEX(T_Equipos[Grupo],MATCH(BD53,T_Equipos[NombreEquipo],0)))&amp;")")</f>
        <v>P.1 (4)</v>
      </c>
      <c r="CA53" s="16">
        <f t="shared" ca="1" si="27"/>
        <v>0</v>
      </c>
      <c r="CB53" s="16">
        <f t="shared" ca="1" si="28"/>
        <v>0</v>
      </c>
      <c r="CC53" s="16">
        <f t="shared" ca="1" si="49"/>
        <v>0</v>
      </c>
      <c r="CD53" s="16">
        <f ca="1">BY53+COUNTIFS($BZ$6:$BZ$53,BZ53,$CC$6:CC$53,"&gt;"&amp;CC53,$BC$6:$BC$53,INDEX(T_Equipos[Grupo],MATCH(BD53,T_Equipos[NombreEquipo],0)))</f>
        <v>1</v>
      </c>
      <c r="CE53" s="16" t="str">
        <f ca="1">IF(COUNTIFS($CD$6:$CD$53,CD53,$BC$6:$BC$53,INDEX(T_Equipos[Grupo],MATCH(BD53,T_Equipos[NombreEquipo],0)))=1,"-","P."&amp;CD53&amp;" ("&amp;COUNTIFS($CD$6:$CD$53,CD53,$BC$6:$BC$53,INDEX(T_Equipos[Grupo],MATCH(BD53,T_Equipos[NombreEquipo],0)))&amp;")")</f>
        <v>P.1 (4)</v>
      </c>
      <c r="CF53" s="16">
        <f t="shared" ca="1" si="29"/>
        <v>0</v>
      </c>
      <c r="CG53" s="16">
        <f ca="1">CD53+COUNTIFS($CE$6:$CE$53,CE53,$CF$6:CF$53,"&gt;"&amp;CF53,$BC$6:$BC$53,INDEX(T_Equipos[Grupo],MATCH(BD53,T_Equipos[NombreEquipo],0)))</f>
        <v>1</v>
      </c>
      <c r="CH53" s="16" t="str">
        <f ca="1">IF(COUNTIFS($CG$6:$CG$53,CG53,$BC$6:$BC$53,INDEX(T_Equipos[Grupo],MATCH(BD53,T_Equipos[NombreEquipo],0)))=1,"-","P."&amp;CG53&amp;" ("&amp;COUNTIFS($CG$6:$CG$53,CG53,$BC$6:$BC$53,INDEX(T_Equipos[Grupo],MATCH(BD53,T_Equipos[NombreEquipo],0)))&amp;")")</f>
        <v>P.1 (4)</v>
      </c>
      <c r="CI53" s="16">
        <f t="shared" ca="1" si="30"/>
        <v>0</v>
      </c>
      <c r="CJ53" s="16">
        <f t="shared" ca="1" si="31"/>
        <v>0</v>
      </c>
      <c r="CK53" s="16">
        <f t="shared" ca="1" si="32"/>
        <v>0</v>
      </c>
      <c r="CL53" s="16">
        <f t="shared" ca="1" si="50"/>
        <v>0</v>
      </c>
      <c r="CM53" s="16">
        <f ca="1">CG53+COUNTIFS($CH$6:$CH$53,CH53,$CL$6:CL$53,"&gt;"&amp;CL53,$BC$6:$BC$53,INDEX(T_Equipos[Grupo],MATCH(BD53,T_Equipos[NombreEquipo],0)))</f>
        <v>1</v>
      </c>
      <c r="CN53" s="16" t="str">
        <f ca="1">IF(COUNTIFS($CM$6:$CM$53,CM53,$BC$6:$BC$53,INDEX(T_Equipos[Grupo],MATCH(BD53,T_Equipos[NombreEquipo],0)))=1,"-","P."&amp;CM53&amp;" ("&amp;COUNTIFS($CM$6:$CM$53,CM53,$BC$6:$BC$53,INDEX(T_Equipos[Grupo],MATCH(BD53,T_Equipos[NombreEquipo],0)))&amp;")")</f>
        <v>P.1 (4)</v>
      </c>
      <c r="CO53" s="16">
        <f t="shared" ca="1" si="33"/>
        <v>0</v>
      </c>
      <c r="CP53" s="16">
        <f t="shared" ca="1" si="34"/>
        <v>0</v>
      </c>
      <c r="CQ53" s="16">
        <f t="shared" ca="1" si="51"/>
        <v>0</v>
      </c>
      <c r="CR53" s="16">
        <f ca="1">CM53+COUNTIFS($CN$6:$CN$53,CN53,$CQ$6:CQ$53,"&gt;"&amp;CQ53,$BC$6:$BC$53,INDEX(T_Equipos[Grupo],MATCH(BD53,T_Equipos[NombreEquipo],0)))</f>
        <v>1</v>
      </c>
      <c r="CS53" s="16" t="str">
        <f ca="1">IF(COUNTIFS($CR$6:$CR$53,CR53,$BC$6:$BC$53,INDEX(T_Equipos[Grupo],MATCH(BD53,T_Equipos[NombreEquipo],0)))=1,"-","P."&amp;CR53&amp;" ("&amp;COUNTIFS($CR$6:$CR$53,CR53,$BC$6:$BC$53,INDEX(T_Equipos[Grupo],MATCH(BD53,T_Equipos[NombreEquipo],0)))&amp;")")</f>
        <v>P.1 (4)</v>
      </c>
      <c r="CT53" s="16">
        <f t="shared" ca="1" si="35"/>
        <v>0</v>
      </c>
      <c r="CU53" s="16">
        <f ca="1">CR53+COUNTIFS($CS$6:$CS$53,CS53,$CT$6:CT$53,"&gt;"&amp;CT53,$BC$6:$BC$53,INDEX(T_Equipos[Grupo],MATCH(BD53,T_Equipos[NombreEquipo],0)))</f>
        <v>1</v>
      </c>
      <c r="CV53" s="16" t="str">
        <f ca="1">IF(COUNTIFS($CU$6:$CU$53,CU53,$BC$6:$BC$53,INDEX(T_Equipos[Grupo],MATCH(BD53,T_Equipos[NombreEquipo],0)))=1,"-","P."&amp;CU53&amp;" ("&amp;COUNTIFS($CU$6:$CU$53,CU53,$BC$6:$BC$53,INDEX(T_Equipos[Grupo],MATCH(BD53,T_Equipos[NombreEquipo],0)))&amp;")")</f>
        <v>P.1 (4)</v>
      </c>
      <c r="CW53" s="16">
        <f t="shared" ca="1" si="36"/>
        <v>0</v>
      </c>
      <c r="CX53" s="16">
        <f ca="1">CU53+COUNTIFS($CV$6:$CV$53,CV53,$CW$6:CW$53,"&gt;"&amp;CW53,$BC$6:$BC$53,INDEX(T_Equipos[Grupo],MATCH(BD53,T_Equipos[NombreEquipo],0)))</f>
        <v>1</v>
      </c>
      <c r="CY53" s="16" t="str">
        <f ca="1">IF(COUNTIFS($CX$6:$CX$53,CX53,$BC$6:$BC$53,INDEX(T_Equipos[Grupo],MATCH(BD53,T_Equipos[NombreEquipo],0)))=1,"-","P."&amp;CX53&amp;" ("&amp;COUNTIFS($CX$6:$CX$53,CX53,$BC$6:$BC$53,INDEX(T_Equipos[Grupo],MATCH(BD53,T_Equipos[NombreEquipo],0)))&amp;")")</f>
        <v>P.1 (4)</v>
      </c>
      <c r="CZ53" s="16">
        <f t="shared" ca="1" si="37"/>
        <v>0</v>
      </c>
      <c r="DA53" s="16">
        <f ca="1">CX53+COUNTIFS($CY$6:$CY$53,CY53,$CZ$6:CZ$53,"&gt;"&amp;CZ53,$BC$6:$BC$53,INDEX(T_Equipos[Grupo],MATCH(BD53,T_Equipos[NombreEquipo],0)))</f>
        <v>1</v>
      </c>
      <c r="DB53" s="16" t="str">
        <f ca="1">IF(COUNTIFS($DA$6:$DA$53,DA53,$BC$6:$BC$53,INDEX(T_Equipos[Grupo],MATCH(BD53,T_Equipos[NombreEquipo],0)))=1,"-","P."&amp;DA53&amp;" ("&amp;COUNTIFS($DA$6:$DA$53,DA53,$BC$6:$BC$53,INDEX(T_Equipos[Grupo],MATCH(BD53,T_Equipos[NombreEquipo],0)))&amp;")")</f>
        <v>P.1 (4)</v>
      </c>
      <c r="DC53" s="16">
        <f ca="1">IF(DB53="-","-",COUNTIFS(T_Equipos[Rank],"&lt;"&amp;INDEX(T_Equipos[Rank],MATCH(BD53,T_Equipos[NombreEquipo],0)),$BC$6:$BC$53,INDEX(T_Equipos[Grupo],MATCH(BD53,T_Equipos[NombreEquipo],0)))+1)</f>
        <v>4</v>
      </c>
      <c r="DD53" s="16">
        <f ca="1">DA53+COUNTIFS($DB$6:$DB$53,DB53,$DC$6:DC$53,"&lt;"&amp;DC53,$BC$6:$BC$53,INDEX(T_Equipos[Grupo],MATCH(BD53,T_Equipos[NombreEquipo],0)))</f>
        <v>4</v>
      </c>
      <c r="DE53" s="16"/>
      <c r="DF53" s="16">
        <f t="shared" ca="1" si="52"/>
        <v>4</v>
      </c>
      <c r="DG53" s="16">
        <f ca="1">IF(DB53="-","-",COUNTIFS(DF$6:DF$53,"&lt;"&amp;DF53,$BC$6:$BC$53,INDEX(T_Equipos[Grupo],MATCH(BD53,T_Equipos[NombreEquipo],0))))</f>
        <v>3</v>
      </c>
      <c r="DH53" s="16">
        <f ca="1">DA53+COUNTIFS(DB$6:DB$53,DB53,DG$6:DG$53,"&lt;"&amp;DG53,$BC$6:$BC$53,INDEX(T_Equipos[Grupo],MATCH(BD53,T_Equipos[NombreEquipo],0)))</f>
        <v>4</v>
      </c>
      <c r="DI53" s="16"/>
      <c r="DJ53" s="16">
        <f t="shared" ca="1" si="38"/>
        <v>1</v>
      </c>
      <c r="DK53" s="16">
        <f t="shared" ca="1" si="39"/>
        <v>0</v>
      </c>
      <c r="DL53" s="16">
        <f t="shared" ca="1" si="40"/>
        <v>1</v>
      </c>
      <c r="DM53" s="16" t="str">
        <f t="shared" ca="1" si="46"/>
        <v>1.1</v>
      </c>
      <c r="DN53" s="16" cm="1">
        <f t="array" aca="1" ref="DN53" ca="1">OFFSET(Horarios!$P$3,DJ53-1,0,DL53,1)</f>
        <v>1</v>
      </c>
      <c r="DO53" s="16"/>
      <c r="DP53" s="16" t="s">
        <v>696</v>
      </c>
      <c r="DQ53" s="16" t="str">
        <f t="shared" ca="1" si="47"/>
        <v>Panamá</v>
      </c>
    </row>
    <row r="54" spans="1:121" ht="16" customHeight="1" x14ac:dyDescent="0.2">
      <c r="A54" s="16" t="str">
        <f ca="1">+Equipos!B27</f>
        <v>Egipto</v>
      </c>
      <c r="B54" s="16"/>
      <c r="C54" s="16"/>
      <c r="D54" s="16" t="str">
        <f t="shared" si="149"/>
        <v>Pendiente</v>
      </c>
      <c r="E54" s="16" t="str">
        <f t="shared" si="150"/>
        <v>-</v>
      </c>
      <c r="F54" s="16" t="str">
        <f t="shared" si="151"/>
        <v>-</v>
      </c>
      <c r="G54" s="16"/>
      <c r="H54" s="16" t="str">
        <f t="shared" si="152"/>
        <v>-</v>
      </c>
      <c r="I54" s="16" t="str">
        <f t="shared" si="153"/>
        <v>-</v>
      </c>
      <c r="J54" s="16"/>
      <c r="K54" s="16" t="str">
        <f t="shared" si="154"/>
        <v>-</v>
      </c>
      <c r="L54" s="16" t="str">
        <f t="shared" si="155"/>
        <v>-</v>
      </c>
      <c r="M54" s="16"/>
      <c r="N54" s="16" t="str">
        <f t="shared" si="156"/>
        <v>-</v>
      </c>
      <c r="O54" s="16" t="str">
        <f t="shared" si="157"/>
        <v>-</v>
      </c>
      <c r="P54" s="16"/>
      <c r="Q54" s="16" t="str">
        <f t="shared" si="158"/>
        <v>-</v>
      </c>
      <c r="R54" s="16" t="str">
        <f t="shared" si="159"/>
        <v>-</v>
      </c>
      <c r="S54" s="16"/>
      <c r="T54" s="16" t="str">
        <f t="shared" si="160"/>
        <v>-</v>
      </c>
      <c r="U54" s="16" t="str">
        <f t="shared" si="161"/>
        <v>-</v>
      </c>
      <c r="V54" s="17"/>
      <c r="W54" s="666"/>
      <c r="X54" s="24">
        <f ca="1">Horarios!C54</f>
        <v>46194.875</v>
      </c>
      <c r="Y54" s="25">
        <f ca="1">Horarios!C54</f>
        <v>46194.875</v>
      </c>
      <c r="Z54" s="26" t="str">
        <f>$Z$6</f>
        <v>J2</v>
      </c>
      <c r="AA54" s="27" t="str">
        <f ca="1">A53</f>
        <v>Bélgica</v>
      </c>
      <c r="AB54" s="49" t="str" cm="1">
        <f t="array" aca="1" ref="AB54" ca="1">Ver_flag_local</f>
        <v>🇧🇪</v>
      </c>
      <c r="AC54" s="50"/>
      <c r="AD54" s="51"/>
      <c r="AE54" s="595" t="str" cm="1">
        <f t="array" aca="1" ref="AE54" ca="1">Ver_flag_visit</f>
        <v>🇮🇷</v>
      </c>
      <c r="AF54" s="32" t="str">
        <f ca="1">A55</f>
        <v>Irán</v>
      </c>
      <c r="AG54" s="323">
        <f t="shared" si="162"/>
        <v>0</v>
      </c>
      <c r="AH54" s="195">
        <v>39</v>
      </c>
      <c r="AI54" s="181" t="str">
        <f>AJ54&amp;$B$52</f>
        <v>1G</v>
      </c>
      <c r="AJ54" s="40">
        <v>1</v>
      </c>
      <c r="AK54" s="601" t="str" cm="1">
        <f t="array" aca="1" ref="AK54" ca="1">Ver_flag_visit</f>
        <v>🇧🇪</v>
      </c>
      <c r="AL54" s="34" t="str">
        <f ca="1">IFERROR(INDEX($BD$6:$BD$53,MATCH(AI54,$BN$6:$BN$53,0)),"")</f>
        <v>Bélgica</v>
      </c>
      <c r="AM54" s="35">
        <f t="shared" ref="AM54:AT57" ca="1" si="165">INDEX($BE$6:$BN$53,MATCH($AL54,$BD$6:$BD$53,0),MATCH(AM$5,$BE$5:$BN$5,0))</f>
        <v>0</v>
      </c>
      <c r="AN54" s="36">
        <f t="shared" ca="1" si="165"/>
        <v>0</v>
      </c>
      <c r="AO54" s="36">
        <f t="shared" ca="1" si="165"/>
        <v>0</v>
      </c>
      <c r="AP54" s="36">
        <f t="shared" ca="1" si="165"/>
        <v>0</v>
      </c>
      <c r="AQ54" s="36">
        <f t="shared" ca="1" si="165"/>
        <v>0</v>
      </c>
      <c r="AR54" s="36">
        <f t="shared" ca="1" si="165"/>
        <v>0</v>
      </c>
      <c r="AS54" s="36">
        <f t="shared" ca="1" si="165"/>
        <v>0</v>
      </c>
      <c r="AT54" s="41">
        <f t="shared" ca="1" si="165"/>
        <v>0</v>
      </c>
      <c r="AU54" s="330">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49"/>
        <v>Pendiente</v>
      </c>
      <c r="E55" s="16" t="str">
        <f t="shared" si="150"/>
        <v>-</v>
      </c>
      <c r="F55" s="16" t="str">
        <f t="shared" si="151"/>
        <v>-</v>
      </c>
      <c r="G55" s="16"/>
      <c r="H55" s="16" t="str">
        <f t="shared" si="152"/>
        <v>-</v>
      </c>
      <c r="I55" s="16" t="str">
        <f t="shared" si="153"/>
        <v>-</v>
      </c>
      <c r="J55" s="16"/>
      <c r="K55" s="16" t="str">
        <f t="shared" si="154"/>
        <v>-</v>
      </c>
      <c r="L55" s="16" t="str">
        <f t="shared" si="155"/>
        <v>-</v>
      </c>
      <c r="M55" s="16"/>
      <c r="N55" s="16" t="str">
        <f t="shared" si="156"/>
        <v>-</v>
      </c>
      <c r="O55" s="16" t="str">
        <f t="shared" si="157"/>
        <v>-</v>
      </c>
      <c r="P55" s="16"/>
      <c r="Q55" s="16" t="str">
        <f t="shared" si="158"/>
        <v>-</v>
      </c>
      <c r="R55" s="16" t="str">
        <f t="shared" si="159"/>
        <v>-</v>
      </c>
      <c r="S55" s="16"/>
      <c r="T55" s="16" t="str">
        <f t="shared" si="160"/>
        <v>-</v>
      </c>
      <c r="U55" s="16" t="str">
        <f t="shared" si="161"/>
        <v>-</v>
      </c>
      <c r="V55" s="17"/>
      <c r="W55" s="666"/>
      <c r="X55" s="24">
        <f ca="1">Horarios!C55</f>
        <v>46195.125</v>
      </c>
      <c r="Y55" s="25">
        <f ca="1">Horarios!C55</f>
        <v>46195.125</v>
      </c>
      <c r="Z55" s="26" t="str">
        <f>$Z$6</f>
        <v>J2</v>
      </c>
      <c r="AA55" s="27" t="str">
        <f ca="1">A56</f>
        <v>Nueva Zelanda</v>
      </c>
      <c r="AB55" s="49" t="str" cm="1">
        <f t="array" aca="1" ref="AB55" ca="1">Ver_flag_local</f>
        <v>🇳🇿</v>
      </c>
      <c r="AC55" s="50"/>
      <c r="AD55" s="51"/>
      <c r="AE55" s="595" t="str" cm="1">
        <f t="array" aca="1" ref="AE55" ca="1">Ver_flag_visit</f>
        <v>🇪🇬</v>
      </c>
      <c r="AF55" s="32" t="str">
        <f ca="1">A54</f>
        <v>Egipto</v>
      </c>
      <c r="AG55" s="323">
        <f t="shared" si="162"/>
        <v>0</v>
      </c>
      <c r="AH55" s="195">
        <v>40</v>
      </c>
      <c r="AI55" s="181" t="str">
        <f t="shared" ref="AI55:AI57" si="166">AJ55&amp;$B$52</f>
        <v>2G</v>
      </c>
      <c r="AJ55" s="42">
        <v>2</v>
      </c>
      <c r="AK55" s="602" t="str" cm="1">
        <f t="array" aca="1" ref="AK55" ca="1">Ver_flag_visit</f>
        <v>🇪🇬</v>
      </c>
      <c r="AL55" s="37" t="str">
        <f ca="1">IFERROR(INDEX($BD$6:$BD$53,MATCH(AI55,$BN$6:$BN$53,0)),"")</f>
        <v>Egipto</v>
      </c>
      <c r="AM55" s="38">
        <f t="shared" ca="1" si="165"/>
        <v>0</v>
      </c>
      <c r="AN55" s="39">
        <f t="shared" ca="1" si="165"/>
        <v>0</v>
      </c>
      <c r="AO55" s="39">
        <f t="shared" ca="1" si="165"/>
        <v>0</v>
      </c>
      <c r="AP55" s="39">
        <f t="shared" ca="1" si="165"/>
        <v>0</v>
      </c>
      <c r="AQ55" s="39">
        <f t="shared" ca="1" si="165"/>
        <v>0</v>
      </c>
      <c r="AR55" s="39">
        <f t="shared" ca="1" si="165"/>
        <v>0</v>
      </c>
      <c r="AS55" s="39">
        <f t="shared" ca="1" si="165"/>
        <v>0</v>
      </c>
      <c r="AT55" s="43">
        <f t="shared" ca="1" si="165"/>
        <v>0</v>
      </c>
      <c r="AU55" s="330">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49"/>
        <v>Pendiente</v>
      </c>
      <c r="E56" s="16" t="str">
        <f t="shared" si="150"/>
        <v>-</v>
      </c>
      <c r="F56" s="16" t="str">
        <f t="shared" si="151"/>
        <v>-</v>
      </c>
      <c r="G56" s="16"/>
      <c r="H56" s="16" t="str">
        <f t="shared" si="152"/>
        <v>-</v>
      </c>
      <c r="I56" s="16" t="str">
        <f t="shared" si="153"/>
        <v>-</v>
      </c>
      <c r="J56" s="16"/>
      <c r="K56" s="16" t="str">
        <f t="shared" si="154"/>
        <v>-</v>
      </c>
      <c r="L56" s="16" t="str">
        <f t="shared" si="155"/>
        <v>-</v>
      </c>
      <c r="M56" s="16"/>
      <c r="N56" s="16" t="str">
        <f t="shared" si="156"/>
        <v>-</v>
      </c>
      <c r="O56" s="16" t="str">
        <f t="shared" si="157"/>
        <v>-</v>
      </c>
      <c r="P56" s="16"/>
      <c r="Q56" s="16" t="str">
        <f t="shared" si="158"/>
        <v>-</v>
      </c>
      <c r="R56" s="16" t="str">
        <f t="shared" si="159"/>
        <v>-</v>
      </c>
      <c r="S56" s="16"/>
      <c r="T56" s="16" t="str">
        <f t="shared" si="160"/>
        <v>-</v>
      </c>
      <c r="U56" s="16" t="str">
        <f t="shared" si="161"/>
        <v>-</v>
      </c>
      <c r="V56" s="17"/>
      <c r="W56" s="666"/>
      <c r="X56" s="24">
        <f ca="1">Horarios!C56</f>
        <v>46200.208333333336</v>
      </c>
      <c r="Y56" s="25">
        <f ca="1">Horarios!C56</f>
        <v>46200.208333333336</v>
      </c>
      <c r="Z56" s="26" t="str">
        <f>$Z$8</f>
        <v>J3</v>
      </c>
      <c r="AA56" s="27" t="str">
        <f ca="1">A54</f>
        <v>Egipto</v>
      </c>
      <c r="AB56" s="49" t="str" cm="1">
        <f t="array" aca="1" ref="AB56" ca="1">Ver_flag_local</f>
        <v>🇪🇬</v>
      </c>
      <c r="AC56" s="50"/>
      <c r="AD56" s="51"/>
      <c r="AE56" s="595" t="str" cm="1">
        <f t="array" aca="1" ref="AE56" ca="1">Ver_flag_visit</f>
        <v>🇮🇷</v>
      </c>
      <c r="AF56" s="32" t="str">
        <f ca="1">A55</f>
        <v>Irán</v>
      </c>
      <c r="AG56" s="323">
        <f t="shared" si="162"/>
        <v>0</v>
      </c>
      <c r="AH56" s="195">
        <v>63</v>
      </c>
      <c r="AI56" s="181" t="str">
        <f t="shared" si="166"/>
        <v>3G</v>
      </c>
      <c r="AJ56" s="42">
        <v>3</v>
      </c>
      <c r="AK56" s="602" t="str" cm="1">
        <f t="array" aca="1" ref="AK56" ca="1">Ver_flag_visit</f>
        <v>🇮🇷</v>
      </c>
      <c r="AL56" s="37" t="str">
        <f ca="1">IFERROR(INDEX($BD$6:$BD$53,MATCH(AI56,$BN$6:$BN$53,0)),"")</f>
        <v>Irán</v>
      </c>
      <c r="AM56" s="38">
        <f t="shared" ca="1" si="165"/>
        <v>0</v>
      </c>
      <c r="AN56" s="39">
        <f t="shared" ca="1" si="165"/>
        <v>0</v>
      </c>
      <c r="AO56" s="39">
        <f t="shared" ca="1" si="165"/>
        <v>0</v>
      </c>
      <c r="AP56" s="39">
        <f t="shared" ca="1" si="165"/>
        <v>0</v>
      </c>
      <c r="AQ56" s="39">
        <f t="shared" ca="1" si="165"/>
        <v>0</v>
      </c>
      <c r="AR56" s="39">
        <f t="shared" ca="1" si="165"/>
        <v>0</v>
      </c>
      <c r="AS56" s="39">
        <f t="shared" ca="1" si="165"/>
        <v>0</v>
      </c>
      <c r="AT56" s="43">
        <f t="shared" ca="1" si="165"/>
        <v>0</v>
      </c>
      <c r="AU56" s="330">
        <f ca="1">INDEX($DL$6:$DL$53,MATCH(AI56,$DP$6:$DP$53,0))</f>
        <v>1</v>
      </c>
      <c r="AV56" s="182" t="str">
        <f ca="1">INDEX($BD$6:$BD$53,MATCH(AI56,$BM$6:$BM$53,0))</f>
        <v>Irán</v>
      </c>
      <c r="AW56" s="210"/>
      <c r="AX56" s="171"/>
      <c r="AY56" s="201" t="str">
        <f ca="1">+A55</f>
        <v>Irán</v>
      </c>
      <c r="AZ56" s="202"/>
      <c r="BA56" s="17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Pendiente</v>
      </c>
      <c r="E57" s="16" t="str">
        <f t="shared" si="150"/>
        <v>-</v>
      </c>
      <c r="F57" s="16" t="str">
        <f t="shared" si="151"/>
        <v>-</v>
      </c>
      <c r="G57" s="16"/>
      <c r="H57" s="16" t="str">
        <f t="shared" si="152"/>
        <v>-</v>
      </c>
      <c r="I57" s="16" t="str">
        <f t="shared" si="153"/>
        <v>-</v>
      </c>
      <c r="J57" s="16"/>
      <c r="K57" s="16" t="str">
        <f t="shared" si="154"/>
        <v>-</v>
      </c>
      <c r="L57" s="16" t="str">
        <f t="shared" si="155"/>
        <v>-</v>
      </c>
      <c r="M57" s="16"/>
      <c r="N57" s="16" t="str">
        <f t="shared" si="156"/>
        <v>-</v>
      </c>
      <c r="O57" s="16" t="str">
        <f t="shared" si="157"/>
        <v>-</v>
      </c>
      <c r="P57" s="16"/>
      <c r="Q57" s="16" t="str">
        <f t="shared" si="158"/>
        <v>-</v>
      </c>
      <c r="R57" s="16" t="str">
        <f t="shared" si="159"/>
        <v>-</v>
      </c>
      <c r="S57" s="16"/>
      <c r="T57" s="16" t="str">
        <f t="shared" si="160"/>
        <v>-</v>
      </c>
      <c r="U57" s="16" t="str">
        <f t="shared" si="161"/>
        <v>-</v>
      </c>
      <c r="V57" s="17"/>
      <c r="W57" s="667"/>
      <c r="X57" s="28">
        <f ca="1">Horarios!C57</f>
        <v>46200.208333333336</v>
      </c>
      <c r="Y57" s="29">
        <f ca="1">Horarios!C57</f>
        <v>46200.208333333336</v>
      </c>
      <c r="Z57" s="30" t="str">
        <f>$Z$8</f>
        <v>J3</v>
      </c>
      <c r="AA57" s="31" t="str">
        <f ca="1">A56</f>
        <v>Nueva Zelanda</v>
      </c>
      <c r="AB57" s="52" t="str" cm="1">
        <f t="array" aca="1" ref="AB57" ca="1">Ver_flag_local</f>
        <v>🇳🇿</v>
      </c>
      <c r="AC57" s="53"/>
      <c r="AD57" s="54"/>
      <c r="AE57" s="596" t="str" cm="1">
        <f t="array" aca="1" ref="AE57" ca="1">Ver_flag_visit</f>
        <v>🇧🇪</v>
      </c>
      <c r="AF57" s="33" t="str">
        <f ca="1">A53</f>
        <v>Bélgica</v>
      </c>
      <c r="AG57" s="323">
        <f t="shared" si="162"/>
        <v>0</v>
      </c>
      <c r="AH57" s="195">
        <v>64</v>
      </c>
      <c r="AI57" s="181" t="str">
        <f t="shared" si="166"/>
        <v>4G</v>
      </c>
      <c r="AJ57" s="44">
        <v>4</v>
      </c>
      <c r="AK57" s="604" t="str" cm="1">
        <f t="array" aca="1" ref="AK57" ca="1">Ver_flag_visit</f>
        <v>🇳🇿</v>
      </c>
      <c r="AL57" s="45" t="str">
        <f ca="1">IFERROR(INDEX($BD$6:$BD$53,MATCH(AI57,$BN$6:$BN$53,0)),"")</f>
        <v>Nueva Zelanda</v>
      </c>
      <c r="AM57" s="46">
        <f t="shared" ca="1" si="165"/>
        <v>0</v>
      </c>
      <c r="AN57" s="47">
        <f t="shared" ca="1" si="165"/>
        <v>0</v>
      </c>
      <c r="AO57" s="47">
        <f t="shared" ca="1" si="165"/>
        <v>0</v>
      </c>
      <c r="AP57" s="47">
        <f t="shared" ca="1" si="165"/>
        <v>0</v>
      </c>
      <c r="AQ57" s="47">
        <f t="shared" ca="1" si="165"/>
        <v>0</v>
      </c>
      <c r="AR57" s="47">
        <f t="shared" ca="1" si="165"/>
        <v>0</v>
      </c>
      <c r="AS57" s="47">
        <f t="shared" ca="1" si="165"/>
        <v>0</v>
      </c>
      <c r="AT57" s="48">
        <f t="shared" ca="1" si="165"/>
        <v>0</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0</v>
      </c>
      <c r="BF58" s="16">
        <f ca="1">+BG58+BH58+BI58</f>
        <v>0</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0</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0</v>
      </c>
      <c r="BL58" s="16">
        <f ca="1">+BJ58-BK58</f>
        <v>0</v>
      </c>
      <c r="BM58" s="16">
        <f ca="1">CB58</f>
        <v>5</v>
      </c>
      <c r="BN58" s="16">
        <f ca="1">CF58</f>
        <v>5</v>
      </c>
      <c r="BO58" s="16" t="str">
        <f t="shared" ref="BO58:BO69" si="174">"4"&amp;BC58</f>
        <v>4A</v>
      </c>
      <c r="BP58" s="16"/>
      <c r="BQ58" s="16"/>
      <c r="BR58" s="16">
        <f t="shared" ref="BR58:BR69" ca="1" si="175">+BE58</f>
        <v>0</v>
      </c>
      <c r="BS58" s="16">
        <f ca="1">COUNTIFS(BR$58:BR$69,"&gt;"&amp;BR58)+1</f>
        <v>1</v>
      </c>
      <c r="BT58" s="16" t="str">
        <f ca="1">IF(COUNTIF(BS$58:BS$69,BS58)=1,"-","Pos. "&amp;BS58&amp;" ("&amp;COUNTIF(BS$58:BS$69,BS58)&amp;")")</f>
        <v>Pos. 1 (12)</v>
      </c>
      <c r="BU58" s="16">
        <f t="shared" ref="BU58:BU69" ca="1" si="176">IF(BT58="-","-",BL58)</f>
        <v>0</v>
      </c>
      <c r="BV58" s="16">
        <f t="shared" ref="BV58:BV69" ca="1" si="177">BS58+COUNTIFS(BT$58:BT$69,BT58,BU$58:BU$69,"&gt;"&amp;BU58)</f>
        <v>1</v>
      </c>
      <c r="BW58" s="16" t="str">
        <f t="shared" ref="BW58:BW69" ca="1" si="178">IF(COUNTIF(BV$58:BV$69,BV58)=1,"-","Pos. "&amp;BV58&amp;" ("&amp;COUNTIF(BV$58:BV$69,BV58)&amp;")")</f>
        <v>Pos. 1 (12)</v>
      </c>
      <c r="BX58" s="16">
        <f t="shared" ref="BX58:BX69" ca="1" si="179">IF(BW58="-","-",BJ58)</f>
        <v>0</v>
      </c>
      <c r="BY58" s="16">
        <f t="shared" ref="BY58:BY69" ca="1" si="180">BV58+COUNTIFS(BW$58:BW$69,BW58,BX$58:BX$69,"&gt;"&amp;BX58)</f>
        <v>1</v>
      </c>
      <c r="BZ58" s="16" t="str">
        <f t="shared" ref="BZ58:BZ69" ca="1" si="181">IF(COUNTIF(BY$58:BY$69,BY58)=1,"-","Pos. "&amp;BY58&amp;" ("&amp;COUNTIF(BY$58:BY$69,BY58)&amp;")")</f>
        <v>Pos. 1 (12)</v>
      </c>
      <c r="CA58" s="16">
        <f t="shared" ref="CA58:CA69" ca="1" si="182">IF(BZ58="-","-",COUNTIF($BD$58:$BD$69,"&gt;"&amp;BD58))</f>
        <v>7</v>
      </c>
      <c r="CB58" s="16">
        <f ca="1">BY58+COUNTIFS(BZ$58:BZ$69,BZ58,CA$58:CA$69,"&gt;"&amp;CA58)</f>
        <v>5</v>
      </c>
      <c r="CC58" s="16"/>
      <c r="CD58" s="16">
        <f t="shared" ref="CD58:CD69" ca="1" si="183">IF(OR(INDEX($AW$102:$AW$113,MATCH($BD58,$AV$102:$AV$113,0))="",BZ58="-"),CB58,INDEX($AW$102:$AW$113,MATCH($BD58,$AV$102:$AV$113,0))+CB58/1000)</f>
        <v>5</v>
      </c>
      <c r="CE58" s="16">
        <f ca="1">IF(BZ58="-","-",COUNTIF(CD$58:CD$69,"&lt;"&amp;CD58))</f>
        <v>4</v>
      </c>
      <c r="CF58" s="16">
        <f ca="1">BY58+COUNTIFS(BZ$58:BZ$69,BZ58,CE$58:CE$69,"&lt;"&amp;CE58)</f>
        <v>5</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Arabia Saudita</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0</v>
      </c>
      <c r="BF59" s="16">
        <f t="shared" ref="BF59:BF69" ca="1" si="189">+BG59+BH59+BI59</f>
        <v>0</v>
      </c>
      <c r="BG59" s="16">
        <f t="shared" ca="1" si="169"/>
        <v>0</v>
      </c>
      <c r="BH59" s="16">
        <f t="shared" ca="1" si="170"/>
        <v>0</v>
      </c>
      <c r="BI59" s="16">
        <f t="shared" ca="1" si="171"/>
        <v>0</v>
      </c>
      <c r="BJ59" s="16">
        <f t="shared" ca="1" si="172"/>
        <v>0</v>
      </c>
      <c r="BK59" s="16">
        <f t="shared" ca="1" si="173"/>
        <v>0</v>
      </c>
      <c r="BL59" s="16">
        <f t="shared" ref="BL59:BL69" ca="1" si="190">+BJ59-BK59</f>
        <v>0</v>
      </c>
      <c r="BM59" s="16">
        <f t="shared" ref="BM59:BM69" ca="1" si="191">CB59</f>
        <v>4</v>
      </c>
      <c r="BN59" s="16">
        <f t="shared" ref="BN59:BN69" ca="1" si="192">CF59</f>
        <v>4</v>
      </c>
      <c r="BO59" s="16" t="str">
        <f t="shared" si="174"/>
        <v>4B</v>
      </c>
      <c r="BP59" s="16"/>
      <c r="BQ59" s="16"/>
      <c r="BR59" s="16">
        <f t="shared" ca="1" si="175"/>
        <v>0</v>
      </c>
      <c r="BS59" s="16">
        <f t="shared" ref="BS59:BS69" ca="1" si="193">COUNTIFS(BR$58:BR$69,"&gt;"&amp;BR59)+1</f>
        <v>1</v>
      </c>
      <c r="BT59" s="16" t="str">
        <f t="shared" ref="BT59:BT69" ca="1" si="194">IF(COUNTIF(BS$58:BS$69,BS59)=1,"-","Pos. "&amp;BS59&amp;" ("&amp;COUNTIF(BS$58:BS$69,BS59)&amp;")")</f>
        <v>Pos. 1 (12)</v>
      </c>
      <c r="BU59" s="16">
        <f t="shared" ca="1" si="176"/>
        <v>0</v>
      </c>
      <c r="BV59" s="16">
        <f t="shared" ca="1" si="177"/>
        <v>1</v>
      </c>
      <c r="BW59" s="16" t="str">
        <f t="shared" ca="1" si="178"/>
        <v>Pos. 1 (12)</v>
      </c>
      <c r="BX59" s="16">
        <f t="shared" ca="1" si="179"/>
        <v>0</v>
      </c>
      <c r="BY59" s="16">
        <f t="shared" ca="1" si="180"/>
        <v>1</v>
      </c>
      <c r="BZ59" s="16" t="str">
        <f t="shared" ca="1" si="181"/>
        <v>Pos. 1 (12)</v>
      </c>
      <c r="CA59" s="16">
        <f t="shared" ca="1" si="182"/>
        <v>8</v>
      </c>
      <c r="CB59" s="16">
        <f t="shared" ref="CB59:CB68" ca="1" si="195">BY59+COUNTIFS(BZ$58:BZ$69,BZ59,CA$58:CA$69,"&gt;"&amp;CA59)</f>
        <v>4</v>
      </c>
      <c r="CC59" s="16"/>
      <c r="CD59" s="16">
        <f t="shared" ca="1" si="183"/>
        <v>4</v>
      </c>
      <c r="CE59" s="16">
        <f t="shared" ref="CE59:CE69" ca="1" si="196">IF(BZ59="-","-",COUNTIF(CD$58:CD$69,"&lt;"&amp;CD59))</f>
        <v>3</v>
      </c>
      <c r="CF59" s="16">
        <f t="shared" ref="CF59:CF69" ca="1" si="197">BY59+COUNTIFS(BZ$58:BZ$69,BZ59,CE$58:CE$69,"&lt;"&amp;CE59)</f>
        <v>4</v>
      </c>
      <c r="DJ59" s="16">
        <f t="shared" ca="1" si="184"/>
        <v>1</v>
      </c>
      <c r="DK59" s="16"/>
      <c r="DL59" s="16">
        <f t="shared" ca="1" si="185"/>
        <v>1</v>
      </c>
      <c r="DM59" s="16" t="str">
        <f t="shared" ca="1" si="186"/>
        <v>1.1</v>
      </c>
      <c r="DN59" s="16" cm="1">
        <f t="array" aca="1" ref="DN59" ca="1">OFFSET(Horarios!$P$3,DJ59-1,0,DL59,1)</f>
        <v>1</v>
      </c>
      <c r="DO59" s="16"/>
      <c r="DP59" s="16">
        <v>2</v>
      </c>
      <c r="DQ59" s="16" t="str">
        <f t="shared" ref="DQ59:DQ69" ca="1" si="198">INDEX($BD$58:$BD$69,MATCH(DP59,$BM$58:$BM$69,0))</f>
        <v>Australia</v>
      </c>
    </row>
    <row r="60" spans="1:121" ht="16" customHeight="1" thickBot="1" x14ac:dyDescent="0.25">
      <c r="A60" s="16" t="s">
        <v>32</v>
      </c>
      <c r="B60" s="16" t="s">
        <v>447</v>
      </c>
      <c r="C60" s="16">
        <f>COUNTIF(Equipos!$C$2:$C$49,WORLDCUP!B60)</f>
        <v>4</v>
      </c>
      <c r="D60" s="16" t="str">
        <f t="shared" ref="D60:D65" si="199">IF(OR(AC60="",AD60=""),"Pendiente",IF(AC60&gt;AD60,"Local",IF(AC60&lt;AD60,"Visitante","Empate")))</f>
        <v>Pendiente</v>
      </c>
      <c r="E60" s="16" t="str">
        <f t="shared" ref="E60:E65" si="200">IF(D60="Pendiente","-",INDEX($BT$6:$BT$53,MATCH($AA60,$BD$6:$BD$53,0)))</f>
        <v>-</v>
      </c>
      <c r="F60" s="16" t="str">
        <f t="shared" ref="F60:F65" si="201">IF(D60="Pendiente","-",INDEX($BT$6:$BT$53,MATCH($AF60,$BD$6:$BD$53,0)))</f>
        <v>-</v>
      </c>
      <c r="G60" s="16"/>
      <c r="H60" s="16" t="str">
        <f t="shared" ref="H60:H65" si="202">IF(D60="Pendiente","-",INDEX($BZ$6:$BZ$53,MATCH($AA60,$BD$6:$BD$53,0)))</f>
        <v>-</v>
      </c>
      <c r="I60" s="16" t="str">
        <f t="shared" ref="I60:I65" si="203">IF(D60="Pendiente","-",INDEX($BZ$6:$BZ$53,MATCH($AF60,$BD$6:$BD$53,0)))</f>
        <v>-</v>
      </c>
      <c r="J60" s="16"/>
      <c r="K60" s="16" t="str">
        <f t="shared" ref="K60:K65" si="204">IF(D60="Pendiente","-",INDEX($CE$6:$CE$53,MATCH($AA60,$BD$6:$BD$53,0)))</f>
        <v>-</v>
      </c>
      <c r="L60" s="16" t="str">
        <f t="shared" ref="L60:L65" si="205">IF(D60="Pendiente","-",INDEX($CE$6:$CE$53,MATCH($AF60,$BD$6:$BD$53,0)))</f>
        <v>-</v>
      </c>
      <c r="M60" s="16"/>
      <c r="N60" s="16" t="str">
        <f t="shared" ref="N60:N65" si="206">IF(D60="Pendiente","-",INDEX($CH$6:$CH$53,MATCH($AA60,$BD$6:$BD$53,0)))</f>
        <v>-</v>
      </c>
      <c r="O60" s="16" t="str">
        <f t="shared" ref="O60:O65" si="207">IF(D60="Pendiente","-",INDEX($CH$6:$CH$53,MATCH($AF60,$BD$6:$BD$53,0)))</f>
        <v>-</v>
      </c>
      <c r="P60" s="16"/>
      <c r="Q60" s="16" t="str">
        <f t="shared" ref="Q60:Q65" si="208">IF(D60="Pendiente","-",INDEX($CN$6:$CN$53,MATCH($AA60,$BD$6:$BD$53,0)))</f>
        <v>-</v>
      </c>
      <c r="R60" s="16" t="str">
        <f t="shared" ref="R60:R65" si="209">IF(D60="Pendiente","-",INDEX($CN$6:$CN$53,MATCH($AF60,$BD$6:$BD$53,0)))</f>
        <v>-</v>
      </c>
      <c r="S60" s="16"/>
      <c r="T60" s="16" t="str">
        <f t="shared" ref="T60:T65" si="210">IF(D60="Pendiente","-",INDEX($CS$6:$CS$53,MATCH($AA60,$BD$6:$BD$53,0)))</f>
        <v>-</v>
      </c>
      <c r="U60" s="16" t="str">
        <f t="shared" ref="U60:U65"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v>
      </c>
      <c r="AC60" s="50"/>
      <c r="AD60" s="51"/>
      <c r="AE60" s="595" t="str" cm="1">
        <f t="array" aca="1" ref="AE60" ca="1">Ver_flag_visit</f>
        <v>🇨🇻</v>
      </c>
      <c r="AF60" s="32" t="str">
        <f ca="1">A62</f>
        <v>Cabo Verde</v>
      </c>
      <c r="AG60" s="323">
        <f t="shared" ref="AG60:AG65" si="212">IF(NOT(OR(ISBLANK(AC60),ISBLANK(AD60))),1,0)</f>
        <v>0</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Haití</v>
      </c>
      <c r="BE60" s="16">
        <f t="shared" ca="1" si="188"/>
        <v>0</v>
      </c>
      <c r="BF60" s="16">
        <f t="shared" ca="1" si="189"/>
        <v>0</v>
      </c>
      <c r="BG60" s="16">
        <f t="shared" ca="1" si="169"/>
        <v>0</v>
      </c>
      <c r="BH60" s="16">
        <f t="shared" ca="1" si="170"/>
        <v>0</v>
      </c>
      <c r="BI60" s="16">
        <f t="shared" ca="1" si="171"/>
        <v>0</v>
      </c>
      <c r="BJ60" s="16">
        <f t="shared" ca="1" si="172"/>
        <v>0</v>
      </c>
      <c r="BK60" s="16">
        <f t="shared" ca="1" si="173"/>
        <v>0</v>
      </c>
      <c r="BL60" s="16">
        <f t="shared" ca="1" si="190"/>
        <v>0</v>
      </c>
      <c r="BM60" s="16">
        <f t="shared" ca="1" si="191"/>
        <v>8</v>
      </c>
      <c r="BN60" s="16">
        <f t="shared" ca="1" si="192"/>
        <v>8</v>
      </c>
      <c r="BO60" s="16" t="str">
        <f t="shared" si="174"/>
        <v>4C</v>
      </c>
      <c r="BP60" s="16"/>
      <c r="BQ60" s="16"/>
      <c r="BR60" s="16">
        <f t="shared" ca="1" si="175"/>
        <v>0</v>
      </c>
      <c r="BS60" s="16">
        <f t="shared" ca="1" si="193"/>
        <v>1</v>
      </c>
      <c r="BT60" s="16" t="str">
        <f t="shared" ca="1" si="194"/>
        <v>Pos. 1 (12)</v>
      </c>
      <c r="BU60" s="16">
        <f t="shared" ca="1" si="176"/>
        <v>0</v>
      </c>
      <c r="BV60" s="16">
        <f t="shared" ca="1" si="177"/>
        <v>1</v>
      </c>
      <c r="BW60" s="16" t="str">
        <f t="shared" ca="1" si="178"/>
        <v>Pos. 1 (12)</v>
      </c>
      <c r="BX60" s="16">
        <f t="shared" ca="1" si="179"/>
        <v>0</v>
      </c>
      <c r="BY60" s="16">
        <f t="shared" ca="1" si="180"/>
        <v>1</v>
      </c>
      <c r="BZ60" s="16" t="str">
        <f t="shared" ca="1" si="181"/>
        <v>Pos. 1 (12)</v>
      </c>
      <c r="CA60" s="16">
        <f t="shared" ca="1" si="182"/>
        <v>4</v>
      </c>
      <c r="CB60" s="16">
        <f t="shared" ca="1" si="195"/>
        <v>8</v>
      </c>
      <c r="CC60" s="16"/>
      <c r="CD60" s="16">
        <f t="shared" ca="1" si="183"/>
        <v>8</v>
      </c>
      <c r="CE60" s="16">
        <f t="shared" ca="1" si="196"/>
        <v>7</v>
      </c>
      <c r="CF60" s="16">
        <f t="shared" ca="1" si="197"/>
        <v>8</v>
      </c>
      <c r="DJ60" s="16">
        <f t="shared" ca="1" si="184"/>
        <v>1</v>
      </c>
      <c r="DK60" s="16"/>
      <c r="DL60" s="16">
        <f t="shared" ca="1" si="185"/>
        <v>1</v>
      </c>
      <c r="DM60" s="16" t="str">
        <f t="shared" ca="1" si="186"/>
        <v>1.1</v>
      </c>
      <c r="DN60" s="16" cm="1">
        <f t="array" aca="1" ref="DN60" ca="1">OFFSET(Horarios!$P$3,DJ60-1,0,DL60,1)</f>
        <v>1</v>
      </c>
      <c r="DO60" s="16"/>
      <c r="DP60" s="16">
        <v>3</v>
      </c>
      <c r="DQ60" s="16" t="str">
        <f t="shared" ca="1" si="198"/>
        <v>Austria</v>
      </c>
    </row>
    <row r="61" spans="1:121" ht="16" customHeight="1" x14ac:dyDescent="0.2">
      <c r="A61" s="16" t="str">
        <f ca="1">+Equipos!B30</f>
        <v>España</v>
      </c>
      <c r="B61" s="16"/>
      <c r="C61" s="16"/>
      <c r="D61" s="16" t="str">
        <f t="shared" si="199"/>
        <v>Pendiente</v>
      </c>
      <c r="E61" s="16" t="str">
        <f t="shared" si="200"/>
        <v>-</v>
      </c>
      <c r="F61" s="16" t="str">
        <f t="shared" si="201"/>
        <v>-</v>
      </c>
      <c r="G61" s="16"/>
      <c r="H61" s="16" t="str">
        <f t="shared" si="202"/>
        <v>-</v>
      </c>
      <c r="I61" s="16" t="str">
        <f t="shared" si="203"/>
        <v>-</v>
      </c>
      <c r="J61" s="16"/>
      <c r="K61" s="16" t="str">
        <f t="shared" si="204"/>
        <v>-</v>
      </c>
      <c r="L61" s="16" t="str">
        <f t="shared" si="205"/>
        <v>-</v>
      </c>
      <c r="M61" s="16"/>
      <c r="N61" s="16" t="str">
        <f t="shared" si="206"/>
        <v>-</v>
      </c>
      <c r="O61" s="16" t="str">
        <f t="shared" si="207"/>
        <v>-</v>
      </c>
      <c r="P61" s="16"/>
      <c r="Q61" s="16" t="str">
        <f t="shared" si="208"/>
        <v>-</v>
      </c>
      <c r="R61" s="16" t="str">
        <f t="shared" si="209"/>
        <v>-</v>
      </c>
      <c r="S61" s="16"/>
      <c r="T61" s="16" t="str">
        <f t="shared" si="210"/>
        <v>-</v>
      </c>
      <c r="U61" s="16" t="str">
        <f t="shared" si="211"/>
        <v>-</v>
      </c>
      <c r="V61" s="17"/>
      <c r="W61" s="648"/>
      <c r="X61" s="24">
        <f ca="1">Horarios!C61</f>
        <v>46189</v>
      </c>
      <c r="Y61" s="25">
        <f ca="1">Horarios!C61</f>
        <v>46189</v>
      </c>
      <c r="Z61" s="26" t="str">
        <f>$Z$4</f>
        <v>J1</v>
      </c>
      <c r="AA61" s="27" t="str">
        <f ca="1">A63</f>
        <v>Arabia Saudita</v>
      </c>
      <c r="AB61" s="49" t="str" cm="1">
        <f t="array" aca="1" ref="AB61" ca="1">Ver_flag_local</f>
        <v>🇸🇦</v>
      </c>
      <c r="AC61" s="50"/>
      <c r="AD61" s="51"/>
      <c r="AE61" s="595" t="str" cm="1">
        <f t="array" aca="1" ref="AE61" ca="1">Ver_flag_visit</f>
        <v>🇺🇾</v>
      </c>
      <c r="AF61" s="32" t="str">
        <f ca="1">A64</f>
        <v>Uruguay</v>
      </c>
      <c r="AG61" s="323">
        <f t="shared" si="212"/>
        <v>0</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0</v>
      </c>
      <c r="BF61" s="16">
        <f t="shared" ca="1" si="189"/>
        <v>0</v>
      </c>
      <c r="BG61" s="16">
        <f t="shared" ca="1" si="169"/>
        <v>0</v>
      </c>
      <c r="BH61" s="16">
        <f t="shared" ca="1" si="170"/>
        <v>0</v>
      </c>
      <c r="BI61" s="16">
        <f t="shared" ca="1" si="171"/>
        <v>0</v>
      </c>
      <c r="BJ61" s="16">
        <f t="shared" ca="1" si="172"/>
        <v>0</v>
      </c>
      <c r="BK61" s="16">
        <f t="shared" ca="1" si="173"/>
        <v>0</v>
      </c>
      <c r="BL61" s="16">
        <f t="shared" ca="1" si="190"/>
        <v>0</v>
      </c>
      <c r="BM61" s="16">
        <f t="shared" ca="1" si="191"/>
        <v>2</v>
      </c>
      <c r="BN61" s="16">
        <f t="shared" ca="1" si="192"/>
        <v>2</v>
      </c>
      <c r="BO61" s="16" t="str">
        <f t="shared" si="174"/>
        <v>4D</v>
      </c>
      <c r="BP61" s="16"/>
      <c r="BQ61" s="16"/>
      <c r="BR61" s="16">
        <f t="shared" ca="1" si="175"/>
        <v>0</v>
      </c>
      <c r="BS61" s="16">
        <f t="shared" ca="1" si="193"/>
        <v>1</v>
      </c>
      <c r="BT61" s="16" t="str">
        <f t="shared" ca="1" si="194"/>
        <v>Pos. 1 (12)</v>
      </c>
      <c r="BU61" s="16">
        <f t="shared" ca="1" si="176"/>
        <v>0</v>
      </c>
      <c r="BV61" s="16">
        <f t="shared" ca="1" si="177"/>
        <v>1</v>
      </c>
      <c r="BW61" s="16" t="str">
        <f t="shared" ca="1" si="178"/>
        <v>Pos. 1 (12)</v>
      </c>
      <c r="BX61" s="16">
        <f t="shared" ca="1" si="179"/>
        <v>0</v>
      </c>
      <c r="BY61" s="16">
        <f t="shared" ca="1" si="180"/>
        <v>1</v>
      </c>
      <c r="BZ61" s="16" t="str">
        <f t="shared" ca="1" si="181"/>
        <v>Pos. 1 (12)</v>
      </c>
      <c r="CA61" s="16">
        <f t="shared" ca="1" si="182"/>
        <v>10</v>
      </c>
      <c r="CB61" s="16">
        <f t="shared" ca="1" si="195"/>
        <v>2</v>
      </c>
      <c r="CC61" s="16"/>
      <c r="CD61" s="16">
        <f t="shared" ca="1" si="183"/>
        <v>2</v>
      </c>
      <c r="CE61" s="16">
        <f t="shared" ca="1" si="196"/>
        <v>1</v>
      </c>
      <c r="CF61" s="16">
        <f t="shared" ca="1" si="197"/>
        <v>2</v>
      </c>
      <c r="DJ61" s="16">
        <f t="shared" ca="1" si="184"/>
        <v>1</v>
      </c>
      <c r="DK61" s="16"/>
      <c r="DL61" s="16">
        <f t="shared" ca="1" si="185"/>
        <v>1</v>
      </c>
      <c r="DM61" s="16" t="str">
        <f t="shared" ca="1" si="186"/>
        <v>1.1</v>
      </c>
      <c r="DN61" s="16" cm="1">
        <f t="array" aca="1" ref="DN61" ca="1">OFFSET(Horarios!$P$3,DJ61-1,0,DL61,1)</f>
        <v>1</v>
      </c>
      <c r="DO61" s="16"/>
      <c r="DP61" s="16">
        <v>4</v>
      </c>
      <c r="DQ61" s="16" t="str">
        <f t="shared" ca="1" si="198"/>
        <v>Catar</v>
      </c>
    </row>
    <row r="62" spans="1:121" ht="16" customHeight="1" x14ac:dyDescent="0.2">
      <c r="A62" s="16" t="str">
        <f ca="1">+Equipos!B31</f>
        <v>Cabo Verde</v>
      </c>
      <c r="B62" s="16"/>
      <c r="C62" s="16"/>
      <c r="D62" s="16" t="str">
        <f t="shared" si="199"/>
        <v>Pendiente</v>
      </c>
      <c r="E62" s="16" t="str">
        <f t="shared" si="200"/>
        <v>-</v>
      </c>
      <c r="F62" s="16" t="str">
        <f t="shared" si="201"/>
        <v>-</v>
      </c>
      <c r="G62" s="16"/>
      <c r="H62" s="16" t="str">
        <f t="shared" si="202"/>
        <v>-</v>
      </c>
      <c r="I62" s="16" t="str">
        <f t="shared" si="203"/>
        <v>-</v>
      </c>
      <c r="J62" s="16"/>
      <c r="K62" s="16" t="str">
        <f t="shared" si="204"/>
        <v>-</v>
      </c>
      <c r="L62" s="16" t="str">
        <f t="shared" si="205"/>
        <v>-</v>
      </c>
      <c r="M62" s="16"/>
      <c r="N62" s="16" t="str">
        <f t="shared" si="206"/>
        <v>-</v>
      </c>
      <c r="O62" s="16" t="str">
        <f t="shared" si="207"/>
        <v>-</v>
      </c>
      <c r="P62" s="16"/>
      <c r="Q62" s="16" t="str">
        <f t="shared" si="208"/>
        <v>-</v>
      </c>
      <c r="R62" s="16" t="str">
        <f t="shared" si="209"/>
        <v>-</v>
      </c>
      <c r="S62" s="16"/>
      <c r="T62" s="16" t="str">
        <f t="shared" si="210"/>
        <v>-</v>
      </c>
      <c r="U62" s="16" t="str">
        <f t="shared" si="211"/>
        <v>-</v>
      </c>
      <c r="V62" s="17"/>
      <c r="W62" s="648"/>
      <c r="X62" s="24">
        <f ca="1">Horarios!C62</f>
        <v>46194.75</v>
      </c>
      <c r="Y62" s="25">
        <f ca="1">Horarios!C62</f>
        <v>46194.75</v>
      </c>
      <c r="Z62" s="26" t="str">
        <f>$Z$6</f>
        <v>J2</v>
      </c>
      <c r="AA62" s="27" t="str">
        <f ca="1">A61</f>
        <v>España</v>
      </c>
      <c r="AB62" s="49" t="str" cm="1">
        <f t="array" aca="1" ref="AB62" ca="1">Ver_flag_local</f>
        <v>🇪🇸</v>
      </c>
      <c r="AC62" s="50"/>
      <c r="AD62" s="51"/>
      <c r="AE62" s="595" t="str" cm="1">
        <f t="array" aca="1" ref="AE62" ca="1">Ver_flag_visit</f>
        <v>🇸🇦</v>
      </c>
      <c r="AF62" s="32" t="str">
        <f ca="1">A63</f>
        <v>Arabia Saudita</v>
      </c>
      <c r="AG62" s="323">
        <f t="shared" si="212"/>
        <v>0</v>
      </c>
      <c r="AH62" s="195">
        <v>38</v>
      </c>
      <c r="AI62" s="181" t="str">
        <f>AJ62&amp;$B$60</f>
        <v>1H</v>
      </c>
      <c r="AJ62" s="40">
        <v>1</v>
      </c>
      <c r="AK62" s="601" t="str" cm="1">
        <f t="array" aca="1" ref="AK62" ca="1">Ver_flag_visit</f>
        <v>🇪🇸</v>
      </c>
      <c r="AL62" s="34" t="str">
        <f ca="1">IFERROR(INDEX($BD$6:$BD$53,MATCH(AI62,$BN$6:$BN$53,0)),"")</f>
        <v>España</v>
      </c>
      <c r="AM62" s="35">
        <f t="shared" ref="AM62:AT65" ca="1" si="215">INDEX($BE$6:$BN$53,MATCH($AL62,$BD$6:$BD$53,0),MATCH(AM$5,$BE$5:$BN$5,0))</f>
        <v>0</v>
      </c>
      <c r="AN62" s="36">
        <f t="shared" ca="1" si="215"/>
        <v>0</v>
      </c>
      <c r="AO62" s="36">
        <f t="shared" ca="1" si="215"/>
        <v>0</v>
      </c>
      <c r="AP62" s="36">
        <f t="shared" ca="1" si="215"/>
        <v>0</v>
      </c>
      <c r="AQ62" s="36">
        <f t="shared" ca="1" si="215"/>
        <v>0</v>
      </c>
      <c r="AR62" s="36">
        <f t="shared" ca="1" si="215"/>
        <v>0</v>
      </c>
      <c r="AS62" s="36">
        <f t="shared" ca="1" si="215"/>
        <v>0</v>
      </c>
      <c r="AT62" s="41">
        <f t="shared" ca="1" si="215"/>
        <v>0</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0</v>
      </c>
      <c r="BF62" s="16">
        <f t="shared" ca="1" si="189"/>
        <v>0</v>
      </c>
      <c r="BG62" s="16">
        <f t="shared" ca="1" si="169"/>
        <v>0</v>
      </c>
      <c r="BH62" s="16">
        <f t="shared" ca="1" si="170"/>
        <v>0</v>
      </c>
      <c r="BI62" s="16">
        <f t="shared" ca="1" si="171"/>
        <v>0</v>
      </c>
      <c r="BJ62" s="16">
        <f t="shared" ca="1" si="172"/>
        <v>0</v>
      </c>
      <c r="BK62" s="16">
        <f t="shared" ca="1" si="173"/>
        <v>0</v>
      </c>
      <c r="BL62" s="16">
        <f t="shared" ca="1" si="190"/>
        <v>0</v>
      </c>
      <c r="BM62" s="16">
        <f t="shared" ca="1" si="191"/>
        <v>6</v>
      </c>
      <c r="BN62" s="16">
        <f t="shared" ca="1" si="192"/>
        <v>6</v>
      </c>
      <c r="BO62" s="16" t="str">
        <f t="shared" si="174"/>
        <v>4E</v>
      </c>
      <c r="BP62" s="16"/>
      <c r="BQ62" s="16"/>
      <c r="BR62" s="16">
        <f t="shared" ca="1" si="175"/>
        <v>0</v>
      </c>
      <c r="BS62" s="16">
        <f t="shared" ca="1" si="193"/>
        <v>1</v>
      </c>
      <c r="BT62" s="16" t="str">
        <f t="shared" ca="1" si="194"/>
        <v>Pos. 1 (12)</v>
      </c>
      <c r="BU62" s="16">
        <f t="shared" ca="1" si="176"/>
        <v>0</v>
      </c>
      <c r="BV62" s="16">
        <f t="shared" ca="1" si="177"/>
        <v>1</v>
      </c>
      <c r="BW62" s="16" t="str">
        <f t="shared" ca="1" si="178"/>
        <v>Pos. 1 (12)</v>
      </c>
      <c r="BX62" s="16">
        <f t="shared" ca="1" si="179"/>
        <v>0</v>
      </c>
      <c r="BY62" s="16">
        <f t="shared" ca="1" si="180"/>
        <v>1</v>
      </c>
      <c r="BZ62" s="16" t="str">
        <f t="shared" ca="1" si="181"/>
        <v>Pos. 1 (12)</v>
      </c>
      <c r="CA62" s="16">
        <f t="shared" ca="1" si="182"/>
        <v>6</v>
      </c>
      <c r="CB62" s="16">
        <f t="shared" ca="1" si="195"/>
        <v>6</v>
      </c>
      <c r="CC62" s="16"/>
      <c r="CD62" s="16">
        <f t="shared" ca="1" si="183"/>
        <v>6</v>
      </c>
      <c r="CE62" s="16">
        <f t="shared" ca="1" si="196"/>
        <v>5</v>
      </c>
      <c r="CF62" s="16">
        <f t="shared" ca="1" si="197"/>
        <v>6</v>
      </c>
      <c r="DJ62" s="16">
        <f t="shared" ca="1" si="184"/>
        <v>1</v>
      </c>
      <c r="DK62" s="16"/>
      <c r="DL62" s="16">
        <f t="shared" ca="1" si="185"/>
        <v>1</v>
      </c>
      <c r="DM62" s="16" t="str">
        <f t="shared" ca="1" si="186"/>
        <v>1.1</v>
      </c>
      <c r="DN62" s="16" cm="1">
        <f t="array" aca="1" ref="DN62" ca="1">OFFSET(Horarios!$P$3,DJ62-1,0,DL62,1)</f>
        <v>1</v>
      </c>
      <c r="DO62" s="16"/>
      <c r="DP62" s="16">
        <v>5</v>
      </c>
      <c r="DQ62" s="16" t="str">
        <f t="shared" ca="1" si="198"/>
        <v>Corea del Sur</v>
      </c>
    </row>
    <row r="63" spans="1:121" ht="16" customHeight="1" x14ac:dyDescent="0.2">
      <c r="A63" s="16" t="str">
        <f ca="1">+Equipos!B32</f>
        <v>Arabia Saudita</v>
      </c>
      <c r="B63" s="16"/>
      <c r="C63" s="16"/>
      <c r="D63" s="16" t="str">
        <f t="shared" si="199"/>
        <v>Pendiente</v>
      </c>
      <c r="E63" s="16" t="str">
        <f t="shared" si="200"/>
        <v>-</v>
      </c>
      <c r="F63" s="16" t="str">
        <f t="shared" si="201"/>
        <v>-</v>
      </c>
      <c r="G63" s="16"/>
      <c r="H63" s="16" t="str">
        <f t="shared" si="202"/>
        <v>-</v>
      </c>
      <c r="I63" s="16" t="str">
        <f t="shared" si="203"/>
        <v>-</v>
      </c>
      <c r="J63" s="16"/>
      <c r="K63" s="16" t="str">
        <f t="shared" si="204"/>
        <v>-</v>
      </c>
      <c r="L63" s="16" t="str">
        <f t="shared" si="205"/>
        <v>-</v>
      </c>
      <c r="M63" s="16"/>
      <c r="N63" s="16" t="str">
        <f t="shared" si="206"/>
        <v>-</v>
      </c>
      <c r="O63" s="16" t="str">
        <f t="shared" si="207"/>
        <v>-</v>
      </c>
      <c r="P63" s="16"/>
      <c r="Q63" s="16" t="str">
        <f t="shared" si="208"/>
        <v>-</v>
      </c>
      <c r="R63" s="16" t="str">
        <f t="shared" si="209"/>
        <v>-</v>
      </c>
      <c r="S63" s="16"/>
      <c r="T63" s="16" t="str">
        <f t="shared" si="210"/>
        <v>-</v>
      </c>
      <c r="U63" s="16" t="str">
        <f t="shared" si="211"/>
        <v>-</v>
      </c>
      <c r="V63" s="17"/>
      <c r="W63" s="648"/>
      <c r="X63" s="24">
        <f ca="1">Horarios!C63</f>
        <v>46195</v>
      </c>
      <c r="Y63" s="25">
        <f ca="1">Horarios!C63</f>
        <v>46195</v>
      </c>
      <c r="Z63" s="26" t="str">
        <f>$Z$6</f>
        <v>J2</v>
      </c>
      <c r="AA63" s="27" t="str">
        <f ca="1">A64</f>
        <v>Uruguay</v>
      </c>
      <c r="AB63" s="49" t="str" cm="1">
        <f t="array" aca="1" ref="AB63" ca="1">Ver_flag_local</f>
        <v>🇺🇾</v>
      </c>
      <c r="AC63" s="50"/>
      <c r="AD63" s="51"/>
      <c r="AE63" s="595" t="str" cm="1">
        <f t="array" aca="1" ref="AE63" ca="1">Ver_flag_visit</f>
        <v>🇨🇻</v>
      </c>
      <c r="AF63" s="32" t="str">
        <f ca="1">A62</f>
        <v>Cabo Verde</v>
      </c>
      <c r="AG63" s="323">
        <f t="shared" si="212"/>
        <v>0</v>
      </c>
      <c r="AH63" s="195">
        <v>37</v>
      </c>
      <c r="AI63" s="181" t="str">
        <f t="shared" ref="AI63:AI65" si="216">AJ63&amp;$B$60</f>
        <v>2H</v>
      </c>
      <c r="AJ63" s="42">
        <v>2</v>
      </c>
      <c r="AK63" s="602" t="str" cm="1">
        <f t="array" aca="1" ref="AK63" ca="1">Ver_flag_visit</f>
        <v>🇨🇻</v>
      </c>
      <c r="AL63" s="37" t="str">
        <f ca="1">IFERROR(INDEX($BD$6:$BD$53,MATCH(AI63,$BN$6:$BN$53,0)),"")</f>
        <v>Cabo Verde</v>
      </c>
      <c r="AM63" s="38">
        <f t="shared" ca="1" si="215"/>
        <v>0</v>
      </c>
      <c r="AN63" s="39">
        <f t="shared" ca="1" si="215"/>
        <v>0</v>
      </c>
      <c r="AO63" s="39">
        <f t="shared" ca="1" si="215"/>
        <v>0</v>
      </c>
      <c r="AP63" s="39">
        <f t="shared" ca="1" si="215"/>
        <v>0</v>
      </c>
      <c r="AQ63" s="39">
        <f t="shared" ca="1" si="215"/>
        <v>0</v>
      </c>
      <c r="AR63" s="39">
        <f t="shared" ca="1" si="215"/>
        <v>0</v>
      </c>
      <c r="AS63" s="39">
        <f t="shared" ca="1" si="215"/>
        <v>0</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0</v>
      </c>
      <c r="BF63" s="16">
        <f t="shared" ca="1" si="189"/>
        <v>0</v>
      </c>
      <c r="BG63" s="16">
        <f t="shared" ca="1" si="169"/>
        <v>0</v>
      </c>
      <c r="BH63" s="16">
        <f t="shared" ca="1" si="170"/>
        <v>0</v>
      </c>
      <c r="BI63" s="16">
        <f t="shared" ca="1" si="171"/>
        <v>0</v>
      </c>
      <c r="BJ63" s="16">
        <f t="shared" ca="1" si="172"/>
        <v>0</v>
      </c>
      <c r="BK63" s="16">
        <f t="shared" ca="1" si="173"/>
        <v>0</v>
      </c>
      <c r="BL63" s="16">
        <f t="shared" ca="1" si="190"/>
        <v>0</v>
      </c>
      <c r="BM63" s="16">
        <f t="shared" ca="1" si="191"/>
        <v>11</v>
      </c>
      <c r="BN63" s="16">
        <f t="shared" ca="1" si="192"/>
        <v>11</v>
      </c>
      <c r="BO63" s="16" t="str">
        <f t="shared" si="174"/>
        <v>4F</v>
      </c>
      <c r="BP63" s="16"/>
      <c r="BQ63" s="16"/>
      <c r="BR63" s="16">
        <f t="shared" ca="1" si="175"/>
        <v>0</v>
      </c>
      <c r="BS63" s="16">
        <f t="shared" ca="1" si="193"/>
        <v>1</v>
      </c>
      <c r="BT63" s="16" t="str">
        <f t="shared" ca="1" si="194"/>
        <v>Pos. 1 (12)</v>
      </c>
      <c r="BU63" s="16">
        <f t="shared" ca="1" si="176"/>
        <v>0</v>
      </c>
      <c r="BV63" s="16">
        <f t="shared" ca="1" si="177"/>
        <v>1</v>
      </c>
      <c r="BW63" s="16" t="str">
        <f t="shared" ca="1" si="178"/>
        <v>Pos. 1 (12)</v>
      </c>
      <c r="BX63" s="16">
        <f t="shared" ca="1" si="179"/>
        <v>0</v>
      </c>
      <c r="BY63" s="16">
        <f t="shared" ca="1" si="180"/>
        <v>1</v>
      </c>
      <c r="BZ63" s="16" t="str">
        <f t="shared" ca="1" si="181"/>
        <v>Pos. 1 (12)</v>
      </c>
      <c r="CA63" s="16">
        <f t="shared" ca="1" si="182"/>
        <v>1</v>
      </c>
      <c r="CB63" s="16">
        <f t="shared" ca="1" si="195"/>
        <v>11</v>
      </c>
      <c r="CC63" s="16"/>
      <c r="CD63" s="16">
        <f t="shared" ca="1" si="183"/>
        <v>11</v>
      </c>
      <c r="CE63" s="16">
        <f t="shared" ca="1" si="196"/>
        <v>10</v>
      </c>
      <c r="CF63" s="16">
        <f t="shared" ca="1" si="197"/>
        <v>11</v>
      </c>
      <c r="DJ63" s="16">
        <f t="shared" ca="1" si="184"/>
        <v>1</v>
      </c>
      <c r="DK63" s="16"/>
      <c r="DL63" s="16">
        <f t="shared" ca="1" si="185"/>
        <v>1</v>
      </c>
      <c r="DM63" s="16" t="str">
        <f t="shared" ca="1" si="186"/>
        <v>1.1</v>
      </c>
      <c r="DN63" s="16" cm="1">
        <f t="array" aca="1" ref="DN63" ca="1">OFFSET(Horarios!$P$3,DJ63-1,0,DL63,1)</f>
        <v>1</v>
      </c>
      <c r="DO63" s="16"/>
      <c r="DP63" s="16">
        <v>6</v>
      </c>
      <c r="DQ63" s="16" t="str">
        <f t="shared" ca="1" si="198"/>
        <v>Costa de Marfil</v>
      </c>
    </row>
    <row r="64" spans="1:121" ht="16" customHeight="1" x14ac:dyDescent="0.2">
      <c r="A64" s="16" t="str">
        <f ca="1">+Equipos!B33</f>
        <v>Uruguay</v>
      </c>
      <c r="B64" s="16"/>
      <c r="C64" s="16"/>
      <c r="D64" s="16" t="str">
        <f t="shared" si="199"/>
        <v>Pendiente</v>
      </c>
      <c r="E64" s="16" t="str">
        <f t="shared" si="200"/>
        <v>-</v>
      </c>
      <c r="F64" s="16" t="str">
        <f t="shared" si="201"/>
        <v>-</v>
      </c>
      <c r="G64" s="16"/>
      <c r="H64" s="16" t="str">
        <f t="shared" si="202"/>
        <v>-</v>
      </c>
      <c r="I64" s="16" t="str">
        <f t="shared" si="203"/>
        <v>-</v>
      </c>
      <c r="J64" s="16"/>
      <c r="K64" s="16" t="str">
        <f t="shared" si="204"/>
        <v>-</v>
      </c>
      <c r="L64" s="16" t="str">
        <f t="shared" si="205"/>
        <v>-</v>
      </c>
      <c r="M64" s="16"/>
      <c r="N64" s="16" t="str">
        <f t="shared" si="206"/>
        <v>-</v>
      </c>
      <c r="O64" s="16" t="str">
        <f t="shared" si="207"/>
        <v>-</v>
      </c>
      <c r="P64" s="16"/>
      <c r="Q64" s="16" t="str">
        <f t="shared" si="208"/>
        <v>-</v>
      </c>
      <c r="R64" s="16" t="str">
        <f t="shared" si="209"/>
        <v>-</v>
      </c>
      <c r="S64" s="16"/>
      <c r="T64" s="16" t="str">
        <f t="shared" si="210"/>
        <v>-</v>
      </c>
      <c r="U64" s="16" t="str">
        <f t="shared" si="211"/>
        <v>-</v>
      </c>
      <c r="V64" s="17"/>
      <c r="W64" s="648"/>
      <c r="X64" s="24">
        <f ca="1">Horarios!C64</f>
        <v>46200.083333333336</v>
      </c>
      <c r="Y64" s="25">
        <f ca="1">Horarios!C64</f>
        <v>46200.083333333336</v>
      </c>
      <c r="Z64" s="26" t="str">
        <f>$Z$8</f>
        <v>J3</v>
      </c>
      <c r="AA64" s="27" t="str">
        <f ca="1">A62</f>
        <v>Cabo Verde</v>
      </c>
      <c r="AB64" s="49" t="str" cm="1">
        <f t="array" aca="1" ref="AB64" ca="1">Ver_flag_local</f>
        <v>🇨🇻</v>
      </c>
      <c r="AC64" s="50"/>
      <c r="AD64" s="51"/>
      <c r="AE64" s="595" t="str" cm="1">
        <f t="array" aca="1" ref="AE64" ca="1">Ver_flag_visit</f>
        <v>🇸🇦</v>
      </c>
      <c r="AF64" s="32" t="str">
        <f ca="1">A63</f>
        <v>Arabia Saudita</v>
      </c>
      <c r="AG64" s="323">
        <f t="shared" si="212"/>
        <v>0</v>
      </c>
      <c r="AH64" s="195">
        <v>65</v>
      </c>
      <c r="AI64" s="181" t="str">
        <f t="shared" si="216"/>
        <v>3H</v>
      </c>
      <c r="AJ64" s="42">
        <v>3</v>
      </c>
      <c r="AK64" s="602" t="str" cm="1">
        <f t="array" aca="1" ref="AK64" ca="1">Ver_flag_visit</f>
        <v>🇸🇦</v>
      </c>
      <c r="AL64" s="37" t="str">
        <f ca="1">IFERROR(INDEX($BD$6:$BD$53,MATCH(AI64,$BN$6:$BN$53,0)),"")</f>
        <v>Arabia Saudita</v>
      </c>
      <c r="AM64" s="38">
        <f t="shared" ca="1" si="215"/>
        <v>0</v>
      </c>
      <c r="AN64" s="39">
        <f t="shared" ca="1" si="215"/>
        <v>0</v>
      </c>
      <c r="AO64" s="39">
        <f t="shared" ca="1" si="215"/>
        <v>0</v>
      </c>
      <c r="AP64" s="39">
        <f t="shared" ca="1" si="215"/>
        <v>0</v>
      </c>
      <c r="AQ64" s="39">
        <f t="shared" ca="1" si="215"/>
        <v>0</v>
      </c>
      <c r="AR64" s="39">
        <f t="shared" ca="1" si="215"/>
        <v>0</v>
      </c>
      <c r="AS64" s="39">
        <f t="shared" ca="1" si="215"/>
        <v>0</v>
      </c>
      <c r="AT64" s="43">
        <f t="shared" ca="1" si="215"/>
        <v>0</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0</v>
      </c>
      <c r="BF64" s="16">
        <f t="shared" ca="1" si="189"/>
        <v>0</v>
      </c>
      <c r="BG64" s="16">
        <f t="shared" ca="1" si="169"/>
        <v>0</v>
      </c>
      <c r="BH64" s="16">
        <f t="shared" ca="1" si="170"/>
        <v>0</v>
      </c>
      <c r="BI64" s="16">
        <f t="shared" ca="1" si="171"/>
        <v>0</v>
      </c>
      <c r="BJ64" s="16">
        <f t="shared" ca="1" si="172"/>
        <v>0</v>
      </c>
      <c r="BK64" s="16">
        <f t="shared" ca="1" si="173"/>
        <v>0</v>
      </c>
      <c r="BL64" s="16">
        <f t="shared" ca="1" si="190"/>
        <v>0</v>
      </c>
      <c r="BM64" s="16">
        <f t="shared" ca="1" si="191"/>
        <v>10</v>
      </c>
      <c r="BN64" s="16">
        <f t="shared" ca="1" si="192"/>
        <v>10</v>
      </c>
      <c r="BO64" s="16" t="str">
        <f t="shared" si="174"/>
        <v>4G</v>
      </c>
      <c r="BP64" s="16"/>
      <c r="BQ64" s="16"/>
      <c r="BR64" s="16">
        <f t="shared" ca="1" si="175"/>
        <v>0</v>
      </c>
      <c r="BS64" s="16">
        <f t="shared" ca="1" si="193"/>
        <v>1</v>
      </c>
      <c r="BT64" s="16" t="str">
        <f t="shared" ca="1" si="194"/>
        <v>Pos. 1 (12)</v>
      </c>
      <c r="BU64" s="16">
        <f t="shared" ca="1" si="176"/>
        <v>0</v>
      </c>
      <c r="BV64" s="16">
        <f t="shared" ca="1" si="177"/>
        <v>1</v>
      </c>
      <c r="BW64" s="16" t="str">
        <f t="shared" ca="1" si="178"/>
        <v>Pos. 1 (12)</v>
      </c>
      <c r="BX64" s="16">
        <f t="shared" ca="1" si="179"/>
        <v>0</v>
      </c>
      <c r="BY64" s="16">
        <f t="shared" ca="1" si="180"/>
        <v>1</v>
      </c>
      <c r="BZ64" s="16" t="str">
        <f t="shared" ca="1" si="181"/>
        <v>Pos. 1 (12)</v>
      </c>
      <c r="CA64" s="16">
        <f t="shared" ca="1" si="182"/>
        <v>2</v>
      </c>
      <c r="CB64" s="16">
        <f t="shared" ca="1" si="195"/>
        <v>10</v>
      </c>
      <c r="CC64" s="16"/>
      <c r="CD64" s="16">
        <f t="shared" ca="1" si="183"/>
        <v>10</v>
      </c>
      <c r="CE64" s="16">
        <f t="shared" ca="1" si="196"/>
        <v>9</v>
      </c>
      <c r="CF64" s="16">
        <f t="shared" ca="1" si="197"/>
        <v>10</v>
      </c>
      <c r="DJ64" s="16">
        <f t="shared" ca="1" si="184"/>
        <v>1</v>
      </c>
      <c r="DK64" s="16"/>
      <c r="DL64" s="16">
        <f t="shared" ca="1" si="185"/>
        <v>1</v>
      </c>
      <c r="DM64" s="16" t="str">
        <f t="shared" ca="1" si="186"/>
        <v>1.1</v>
      </c>
      <c r="DN64" s="16" cm="1">
        <f t="array" aca="1" ref="DN64" ca="1">OFFSET(Horarios!$P$3,DJ64-1,0,DL64,1)</f>
        <v>1</v>
      </c>
      <c r="DO64" s="16"/>
      <c r="DP64" s="16">
        <v>7</v>
      </c>
      <c r="DQ64" s="16" t="str">
        <f t="shared" ca="1" si="198"/>
        <v>Ghana</v>
      </c>
    </row>
    <row r="65" spans="1:121" ht="16" customHeight="1" thickBot="1" x14ac:dyDescent="0.25">
      <c r="A65" s="16"/>
      <c r="B65" s="16"/>
      <c r="C65" s="16"/>
      <c r="D65" s="16" t="str">
        <f t="shared" si="199"/>
        <v>Pendiente</v>
      </c>
      <c r="E65" s="16" t="str">
        <f t="shared" si="200"/>
        <v>-</v>
      </c>
      <c r="F65" s="16" t="str">
        <f t="shared" si="201"/>
        <v>-</v>
      </c>
      <c r="G65" s="16"/>
      <c r="H65" s="16" t="str">
        <f t="shared" si="202"/>
        <v>-</v>
      </c>
      <c r="I65" s="16" t="str">
        <f t="shared" si="203"/>
        <v>-</v>
      </c>
      <c r="J65" s="16"/>
      <c r="K65" s="16" t="str">
        <f t="shared" si="204"/>
        <v>-</v>
      </c>
      <c r="L65" s="16" t="str">
        <f t="shared" si="205"/>
        <v>-</v>
      </c>
      <c r="M65" s="16"/>
      <c r="N65" s="16" t="str">
        <f t="shared" si="206"/>
        <v>-</v>
      </c>
      <c r="O65" s="16" t="str">
        <f t="shared" si="207"/>
        <v>-</v>
      </c>
      <c r="P65" s="16"/>
      <c r="Q65" s="16" t="str">
        <f t="shared" si="208"/>
        <v>-</v>
      </c>
      <c r="R65" s="16" t="str">
        <f t="shared" si="209"/>
        <v>-</v>
      </c>
      <c r="S65" s="16"/>
      <c r="T65" s="16" t="str">
        <f t="shared" si="210"/>
        <v>-</v>
      </c>
      <c r="U65" s="16" t="str">
        <f t="shared" si="211"/>
        <v>-</v>
      </c>
      <c r="V65" s="17"/>
      <c r="W65" s="649"/>
      <c r="X65" s="28">
        <f ca="1">Horarios!C65</f>
        <v>46200.083333333336</v>
      </c>
      <c r="Y65" s="29">
        <f ca="1">Horarios!C65</f>
        <v>46200.083333333336</v>
      </c>
      <c r="Z65" s="30" t="str">
        <f>$Z$8</f>
        <v>J3</v>
      </c>
      <c r="AA65" s="31" t="str">
        <f ca="1">A64</f>
        <v>Uruguay</v>
      </c>
      <c r="AB65" s="52" t="str" cm="1">
        <f t="array" aca="1" ref="AB65" ca="1">Ver_flag_local</f>
        <v>🇺🇾</v>
      </c>
      <c r="AC65" s="53"/>
      <c r="AD65" s="54"/>
      <c r="AE65" s="596" t="str" cm="1">
        <f t="array" aca="1" ref="AE65" ca="1">Ver_flag_visit</f>
        <v>🇪🇸</v>
      </c>
      <c r="AF65" s="33" t="str">
        <f ca="1">A61</f>
        <v>España</v>
      </c>
      <c r="AG65" s="323">
        <f t="shared" si="212"/>
        <v>0</v>
      </c>
      <c r="AH65" s="195">
        <v>66</v>
      </c>
      <c r="AI65" s="181" t="str">
        <f t="shared" si="216"/>
        <v>4H</v>
      </c>
      <c r="AJ65" s="44">
        <v>4</v>
      </c>
      <c r="AK65" s="604" t="str" cm="1">
        <f t="array" aca="1" ref="AK65" ca="1">Ver_flag_visit</f>
        <v>🇺🇾</v>
      </c>
      <c r="AL65" s="45" t="str">
        <f ca="1">IFERROR(INDEX($BD$6:$BD$53,MATCH(AI65,$BN$6:$BN$53,0)),"")</f>
        <v>Uruguay</v>
      </c>
      <c r="AM65" s="46">
        <f t="shared" ca="1" si="215"/>
        <v>0</v>
      </c>
      <c r="AN65" s="47">
        <f t="shared" ca="1" si="215"/>
        <v>0</v>
      </c>
      <c r="AO65" s="47">
        <f t="shared" ca="1" si="215"/>
        <v>0</v>
      </c>
      <c r="AP65" s="47">
        <f t="shared" ca="1" si="215"/>
        <v>0</v>
      </c>
      <c r="AQ65" s="47">
        <f t="shared" ca="1" si="215"/>
        <v>0</v>
      </c>
      <c r="AR65" s="47">
        <f t="shared" ca="1" si="215"/>
        <v>0</v>
      </c>
      <c r="AS65" s="47">
        <f t="shared" ca="1" si="215"/>
        <v>0</v>
      </c>
      <c r="AT65" s="48">
        <f t="shared" ca="1" si="215"/>
        <v>0</v>
      </c>
      <c r="AU65" s="330">
        <f ca="1">INDEX($DL$6:$DL$53,MATCH(AI65,$DP$6:$DP$53,0))</f>
        <v>1</v>
      </c>
      <c r="AV65" s="182" t="str">
        <f ca="1">INDEX($BD$6:$BD$53,MATCH(AI65,$BM$6:$BM$53,0))</f>
        <v>Uruguay</v>
      </c>
      <c r="AW65" s="210"/>
      <c r="AX65" s="171"/>
      <c r="AY65" s="205" t="str">
        <f ca="1">+A64</f>
        <v>Uruguay</v>
      </c>
      <c r="AZ65" s="206"/>
      <c r="BA65" s="176"/>
      <c r="BB65" s="16" t="str">
        <f t="shared" si="187"/>
        <v>3H</v>
      </c>
      <c r="BC65" s="16" t="s">
        <v>447</v>
      </c>
      <c r="BD65" s="16" t="str">
        <f t="shared" ca="1" si="168"/>
        <v>Arabia Saudita</v>
      </c>
      <c r="BE65" s="16">
        <f t="shared" ca="1" si="188"/>
        <v>0</v>
      </c>
      <c r="BF65" s="16">
        <f t="shared" ca="1" si="189"/>
        <v>0</v>
      </c>
      <c r="BG65" s="16">
        <f t="shared" ca="1" si="169"/>
        <v>0</v>
      </c>
      <c r="BH65" s="16">
        <f t="shared" ca="1" si="170"/>
        <v>0</v>
      </c>
      <c r="BI65" s="16">
        <f t="shared" ca="1" si="171"/>
        <v>0</v>
      </c>
      <c r="BJ65" s="16">
        <f t="shared" ca="1" si="172"/>
        <v>0</v>
      </c>
      <c r="BK65" s="16">
        <f t="shared" ca="1" si="173"/>
        <v>0</v>
      </c>
      <c r="BL65" s="16">
        <f t="shared" ca="1" si="190"/>
        <v>0</v>
      </c>
      <c r="BM65" s="16">
        <f t="shared" ca="1" si="191"/>
        <v>1</v>
      </c>
      <c r="BN65" s="16">
        <f t="shared" ca="1" si="192"/>
        <v>1</v>
      </c>
      <c r="BO65" s="16" t="str">
        <f t="shared" si="174"/>
        <v>4H</v>
      </c>
      <c r="BP65" s="16"/>
      <c r="BQ65" s="16"/>
      <c r="BR65" s="16">
        <f t="shared" ca="1" si="175"/>
        <v>0</v>
      </c>
      <c r="BS65" s="16">
        <f t="shared" ca="1" si="193"/>
        <v>1</v>
      </c>
      <c r="BT65" s="16" t="str">
        <f t="shared" ca="1" si="194"/>
        <v>Pos. 1 (12)</v>
      </c>
      <c r="BU65" s="16">
        <f t="shared" ca="1" si="176"/>
        <v>0</v>
      </c>
      <c r="BV65" s="16">
        <f t="shared" ca="1" si="177"/>
        <v>1</v>
      </c>
      <c r="BW65" s="16" t="str">
        <f t="shared" ca="1" si="178"/>
        <v>Pos. 1 (12)</v>
      </c>
      <c r="BX65" s="16">
        <f t="shared" ca="1" si="179"/>
        <v>0</v>
      </c>
      <c r="BY65" s="16">
        <f t="shared" ca="1" si="180"/>
        <v>1</v>
      </c>
      <c r="BZ65" s="16" t="str">
        <f t="shared" ca="1" si="181"/>
        <v>Pos. 1 (12)</v>
      </c>
      <c r="CA65" s="16">
        <f t="shared" ca="1" si="182"/>
        <v>11</v>
      </c>
      <c r="CB65" s="16">
        <f t="shared" ca="1" si="195"/>
        <v>1</v>
      </c>
      <c r="CC65" s="16"/>
      <c r="CD65" s="16">
        <f t="shared" ca="1" si="183"/>
        <v>1</v>
      </c>
      <c r="CE65" s="16">
        <f t="shared" ca="1" si="196"/>
        <v>0</v>
      </c>
      <c r="CF65" s="16">
        <f t="shared" ca="1" si="197"/>
        <v>1</v>
      </c>
      <c r="DJ65" s="16">
        <f t="shared" ca="1" si="184"/>
        <v>1</v>
      </c>
      <c r="DK65" s="16"/>
      <c r="DL65" s="16">
        <f t="shared" ca="1" si="185"/>
        <v>1</v>
      </c>
      <c r="DM65" s="16" t="str">
        <f t="shared" ca="1" si="186"/>
        <v>1.1</v>
      </c>
      <c r="DN65" s="16" cm="1">
        <f t="array" aca="1" ref="DN65" ca="1">OFFSET(Horarios!$P$3,DJ65-1,0,DL65,1)</f>
        <v>1</v>
      </c>
      <c r="DO65" s="16"/>
      <c r="DP65" s="16">
        <v>8</v>
      </c>
      <c r="DQ65" s="16" t="str">
        <f t="shared" ca="1" si="198"/>
        <v>Haití</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Irak</v>
      </c>
      <c r="BE66" s="16">
        <f t="shared" ca="1" si="188"/>
        <v>0</v>
      </c>
      <c r="BF66" s="16">
        <f t="shared" ca="1" si="189"/>
        <v>0</v>
      </c>
      <c r="BG66" s="16">
        <f t="shared" ca="1" si="169"/>
        <v>0</v>
      </c>
      <c r="BH66" s="16">
        <f t="shared" ca="1" si="170"/>
        <v>0</v>
      </c>
      <c r="BI66" s="16">
        <f t="shared" ca="1" si="171"/>
        <v>0</v>
      </c>
      <c r="BJ66" s="16">
        <f t="shared" ca="1" si="172"/>
        <v>0</v>
      </c>
      <c r="BK66" s="16">
        <f t="shared" ca="1" si="173"/>
        <v>0</v>
      </c>
      <c r="BL66" s="16">
        <f t="shared" ca="1" si="190"/>
        <v>0</v>
      </c>
      <c r="BM66" s="16">
        <f t="shared" ca="1" si="191"/>
        <v>9</v>
      </c>
      <c r="BN66" s="16">
        <f t="shared" ca="1" si="192"/>
        <v>9</v>
      </c>
      <c r="BO66" s="16" t="str">
        <f t="shared" si="174"/>
        <v>4I</v>
      </c>
      <c r="BP66" s="16"/>
      <c r="BQ66" s="16"/>
      <c r="BR66" s="16">
        <f t="shared" ca="1" si="175"/>
        <v>0</v>
      </c>
      <c r="BS66" s="16">
        <f t="shared" ca="1" si="193"/>
        <v>1</v>
      </c>
      <c r="BT66" s="16" t="str">
        <f t="shared" ca="1" si="194"/>
        <v>Pos. 1 (12)</v>
      </c>
      <c r="BU66" s="16">
        <f t="shared" ca="1" si="176"/>
        <v>0</v>
      </c>
      <c r="BV66" s="16">
        <f t="shared" ca="1" si="177"/>
        <v>1</v>
      </c>
      <c r="BW66" s="16" t="str">
        <f t="shared" ca="1" si="178"/>
        <v>Pos. 1 (12)</v>
      </c>
      <c r="BX66" s="16">
        <f t="shared" ca="1" si="179"/>
        <v>0</v>
      </c>
      <c r="BY66" s="16">
        <f t="shared" ca="1" si="180"/>
        <v>1</v>
      </c>
      <c r="BZ66" s="16" t="str">
        <f t="shared" ca="1" si="181"/>
        <v>Pos. 1 (12)</v>
      </c>
      <c r="CA66" s="16">
        <f t="shared" ca="1" si="182"/>
        <v>3</v>
      </c>
      <c r="CB66" s="16">
        <f t="shared" ca="1" si="195"/>
        <v>9</v>
      </c>
      <c r="CC66" s="16"/>
      <c r="CD66" s="16">
        <f t="shared" ca="1" si="183"/>
        <v>9</v>
      </c>
      <c r="CE66" s="16">
        <f t="shared" ca="1" si="196"/>
        <v>8</v>
      </c>
      <c r="CF66" s="16">
        <f t="shared" ca="1" si="197"/>
        <v>9</v>
      </c>
      <c r="DJ66" s="16">
        <f t="shared" ca="1" si="184"/>
        <v>1</v>
      </c>
      <c r="DK66" s="16"/>
      <c r="DL66" s="16">
        <f t="shared" ca="1" si="185"/>
        <v>1</v>
      </c>
      <c r="DM66" s="16" t="str">
        <f t="shared" ca="1" si="186"/>
        <v>1.1</v>
      </c>
      <c r="DN66" s="16" cm="1">
        <f t="array" aca="1" ref="DN66" ca="1">OFFSET(Horarios!$P$3,DJ66-1,0,DL66,1)</f>
        <v>1</v>
      </c>
      <c r="DO66" s="16"/>
      <c r="DP66" s="16">
        <v>9</v>
      </c>
      <c r="DQ66" s="16" t="str">
        <f t="shared" ca="1" si="198"/>
        <v>Irak</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Austria</v>
      </c>
      <c r="BE67" s="16">
        <f t="shared" ca="1" si="188"/>
        <v>0</v>
      </c>
      <c r="BF67" s="16">
        <f t="shared" ca="1" si="189"/>
        <v>0</v>
      </c>
      <c r="BG67" s="16">
        <f t="shared" ca="1" si="169"/>
        <v>0</v>
      </c>
      <c r="BH67" s="16">
        <f t="shared" ca="1" si="170"/>
        <v>0</v>
      </c>
      <c r="BI67" s="16">
        <f t="shared" ca="1" si="171"/>
        <v>0</v>
      </c>
      <c r="BJ67" s="16">
        <f t="shared" ca="1" si="172"/>
        <v>0</v>
      </c>
      <c r="BK67" s="16">
        <f t="shared" ca="1" si="173"/>
        <v>0</v>
      </c>
      <c r="BL67" s="16">
        <f t="shared" ca="1" si="190"/>
        <v>0</v>
      </c>
      <c r="BM67" s="16">
        <f t="shared" ca="1" si="191"/>
        <v>3</v>
      </c>
      <c r="BN67" s="16">
        <f t="shared" ca="1" si="192"/>
        <v>3</v>
      </c>
      <c r="BO67" s="16" t="str">
        <f t="shared" si="174"/>
        <v>4J</v>
      </c>
      <c r="BP67" s="16"/>
      <c r="BQ67" s="16"/>
      <c r="BR67" s="16">
        <f t="shared" ca="1" si="175"/>
        <v>0</v>
      </c>
      <c r="BS67" s="16">
        <f t="shared" ca="1" si="193"/>
        <v>1</v>
      </c>
      <c r="BT67" s="16" t="str">
        <f t="shared" ca="1" si="194"/>
        <v>Pos. 1 (12)</v>
      </c>
      <c r="BU67" s="16">
        <f t="shared" ca="1" si="176"/>
        <v>0</v>
      </c>
      <c r="BV67" s="16">
        <f t="shared" ca="1" si="177"/>
        <v>1</v>
      </c>
      <c r="BW67" s="16" t="str">
        <f t="shared" ca="1" si="178"/>
        <v>Pos. 1 (12)</v>
      </c>
      <c r="BX67" s="16">
        <f t="shared" ca="1" si="179"/>
        <v>0</v>
      </c>
      <c r="BY67" s="16">
        <f t="shared" ca="1" si="180"/>
        <v>1</v>
      </c>
      <c r="BZ67" s="16" t="str">
        <f t="shared" ca="1" si="181"/>
        <v>Pos. 1 (12)</v>
      </c>
      <c r="CA67" s="16">
        <f t="shared" ca="1" si="182"/>
        <v>9</v>
      </c>
      <c r="CB67" s="16">
        <f t="shared" ca="1" si="195"/>
        <v>3</v>
      </c>
      <c r="CC67" s="16"/>
      <c r="CD67" s="16">
        <f t="shared" ca="1" si="183"/>
        <v>3</v>
      </c>
      <c r="CE67" s="16">
        <f t="shared" ca="1" si="196"/>
        <v>2</v>
      </c>
      <c r="CF67" s="16">
        <f t="shared" ca="1" si="197"/>
        <v>3</v>
      </c>
      <c r="DJ67" s="16">
        <f t="shared" ca="1" si="184"/>
        <v>1</v>
      </c>
      <c r="DK67" s="16"/>
      <c r="DL67" s="16">
        <f t="shared" ca="1" si="185"/>
        <v>1</v>
      </c>
      <c r="DM67" s="16" t="str">
        <f t="shared" ca="1" si="186"/>
        <v>1.1</v>
      </c>
      <c r="DN67" s="16" cm="1">
        <f t="array" aca="1" ref="DN67" ca="1">OFFSET(Horarios!$P$3,DJ67-1,0,DL67,1)</f>
        <v>1</v>
      </c>
      <c r="DO67" s="16"/>
      <c r="DP67" s="16">
        <v>10</v>
      </c>
      <c r="DQ67" s="16" t="str">
        <f t="shared" ca="1" si="198"/>
        <v>Irán</v>
      </c>
    </row>
    <row r="68" spans="1:121" ht="16" customHeight="1" thickBot="1" x14ac:dyDescent="0.25">
      <c r="A68" s="16" t="s">
        <v>32</v>
      </c>
      <c r="B68" s="16" t="s">
        <v>448</v>
      </c>
      <c r="C68" s="16">
        <f>COUNTIF(Equipos!$C$2:$C$49,WORLDCUP!B68)</f>
        <v>4</v>
      </c>
      <c r="D68" s="16" t="str">
        <f t="shared" ref="D68:D73" si="217">IF(OR(AC68="",AD68=""),"Pendiente",IF(AC68&gt;AD68,"Local",IF(AC68&lt;AD68,"Visitante","Empate")))</f>
        <v>Pendiente</v>
      </c>
      <c r="E68" s="16" t="str">
        <f t="shared" ref="E68:E73" si="218">IF(D68="Pendiente","-",INDEX($BT$6:$BT$53,MATCH($AA68,$BD$6:$BD$53,0)))</f>
        <v>-</v>
      </c>
      <c r="F68" s="16" t="str">
        <f t="shared" ref="F68:F73" si="219">IF(D68="Pendiente","-",INDEX($BT$6:$BT$53,MATCH($AF68,$BD$6:$BD$53,0)))</f>
        <v>-</v>
      </c>
      <c r="G68" s="16"/>
      <c r="H68" s="16" t="str">
        <f t="shared" ref="H68:H73" si="220">IF(D68="Pendiente","-",INDEX($BZ$6:$BZ$53,MATCH($AA68,$BD$6:$BD$53,0)))</f>
        <v>-</v>
      </c>
      <c r="I68" s="16" t="str">
        <f t="shared" ref="I68:I73" si="221">IF(D68="Pendiente","-",INDEX($BZ$6:$BZ$53,MATCH($AF68,$BD$6:$BD$53,0)))</f>
        <v>-</v>
      </c>
      <c r="J68" s="16"/>
      <c r="K68" s="16" t="str">
        <f t="shared" ref="K68:K73" si="222">IF(D68="Pendiente","-",INDEX($CE$6:$CE$53,MATCH($AA68,$BD$6:$BD$53,0)))</f>
        <v>-</v>
      </c>
      <c r="L68" s="16" t="str">
        <f t="shared" ref="L68:L73" si="223">IF(D68="Pendiente","-",INDEX($CE$6:$CE$53,MATCH($AF68,$BD$6:$BD$53,0)))</f>
        <v>-</v>
      </c>
      <c r="M68" s="16"/>
      <c r="N68" s="16" t="str">
        <f t="shared" ref="N68:N73" si="224">IF(D68="Pendiente","-",INDEX($CH$6:$CH$53,MATCH($AA68,$BD$6:$BD$53,0)))</f>
        <v>-</v>
      </c>
      <c r="O68" s="16" t="str">
        <f t="shared" ref="O68:O73" si="225">IF(D68="Pendiente","-",INDEX($CH$6:$CH$53,MATCH($AF68,$BD$6:$BD$53,0)))</f>
        <v>-</v>
      </c>
      <c r="P68" s="16"/>
      <c r="Q68" s="16" t="str">
        <f t="shared" ref="Q68:Q73" si="226">IF(D68="Pendiente","-",INDEX($CN$6:$CN$53,MATCH($AA68,$BD$6:$BD$53,0)))</f>
        <v>-</v>
      </c>
      <c r="R68" s="16" t="str">
        <f t="shared" ref="R68:R73" si="227">IF(D68="Pendiente","-",INDEX($CN$6:$CN$53,MATCH($AF68,$BD$6:$BD$53,0)))</f>
        <v>-</v>
      </c>
      <c r="S68" s="16"/>
      <c r="T68" s="16" t="str">
        <f t="shared" ref="T68:T73" si="228">IF(D68="Pendiente","-",INDEX($CS$6:$CS$53,MATCH($AA68,$BD$6:$BD$53,0)))</f>
        <v>-</v>
      </c>
      <c r="U68" s="16" t="str">
        <f t="shared" ref="U68:U73" si="229">IF(D68="Pendiente","-",INDEX($CS$6:$CS$53,MATCH($AF68,$BD$6:$BD$53,0)))</f>
        <v>-</v>
      </c>
      <c r="V68" s="17"/>
      <c r="W68" s="654" t="s">
        <v>448</v>
      </c>
      <c r="X68" s="24">
        <f ca="1">Horarios!C68</f>
        <v>46189.875</v>
      </c>
      <c r="Y68" s="25">
        <f ca="1">Horarios!C68</f>
        <v>46189.875</v>
      </c>
      <c r="Z68" s="26" t="str">
        <f>$Z$4</f>
        <v>J1</v>
      </c>
      <c r="AA68" s="27" t="str">
        <f ca="1">A69</f>
        <v>Francia</v>
      </c>
      <c r="AB68" s="49" t="str" cm="1">
        <f t="array" aca="1" ref="AB68" ca="1">Ver_flag_local</f>
        <v>🇫🇷</v>
      </c>
      <c r="AC68" s="50"/>
      <c r="AD68" s="51"/>
      <c r="AE68" s="595" t="str" cm="1">
        <f t="array" aca="1" ref="AE68" ca="1">Ver_flag_visit</f>
        <v>🇸🇳</v>
      </c>
      <c r="AF68" s="32" t="str">
        <f ca="1">A70</f>
        <v>Senegal</v>
      </c>
      <c r="AG68" s="323">
        <f t="shared" ref="AG68:AG73" si="230">IF(NOT(OR(ISBLANK(AC68),ISBLANK(AD68))),1,0)</f>
        <v>0</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0</v>
      </c>
      <c r="BF68" s="16">
        <f t="shared" ca="1" si="189"/>
        <v>0</v>
      </c>
      <c r="BG68" s="16">
        <f t="shared" ca="1" si="169"/>
        <v>0</v>
      </c>
      <c r="BH68" s="16">
        <f t="shared" ca="1" si="170"/>
        <v>0</v>
      </c>
      <c r="BI68" s="16">
        <f t="shared" ca="1" si="171"/>
        <v>0</v>
      </c>
      <c r="BJ68" s="16">
        <f t="shared" ca="1" si="172"/>
        <v>0</v>
      </c>
      <c r="BK68" s="16">
        <f t="shared" ca="1" si="173"/>
        <v>0</v>
      </c>
      <c r="BL68" s="16">
        <f t="shared" ca="1" si="190"/>
        <v>0</v>
      </c>
      <c r="BM68" s="16">
        <f t="shared" ca="1" si="191"/>
        <v>12</v>
      </c>
      <c r="BN68" s="16">
        <f t="shared" ca="1" si="192"/>
        <v>12</v>
      </c>
      <c r="BO68" s="16" t="str">
        <f t="shared" si="174"/>
        <v>4K</v>
      </c>
      <c r="BP68" s="16"/>
      <c r="BQ68" s="16"/>
      <c r="BR68" s="16">
        <f t="shared" ca="1" si="175"/>
        <v>0</v>
      </c>
      <c r="BS68" s="16">
        <f t="shared" ca="1" si="193"/>
        <v>1</v>
      </c>
      <c r="BT68" s="16" t="str">
        <f t="shared" ca="1" si="194"/>
        <v>Pos. 1 (12)</v>
      </c>
      <c r="BU68" s="16">
        <f t="shared" ca="1" si="176"/>
        <v>0</v>
      </c>
      <c r="BV68" s="16">
        <f t="shared" ca="1" si="177"/>
        <v>1</v>
      </c>
      <c r="BW68" s="16" t="str">
        <f t="shared" ca="1" si="178"/>
        <v>Pos. 1 (12)</v>
      </c>
      <c r="BX68" s="16">
        <f t="shared" ca="1" si="179"/>
        <v>0</v>
      </c>
      <c r="BY68" s="16">
        <f t="shared" ca="1" si="180"/>
        <v>1</v>
      </c>
      <c r="BZ68" s="16" t="str">
        <f t="shared" ca="1" si="181"/>
        <v>Pos. 1 (12)</v>
      </c>
      <c r="CA68" s="16">
        <f t="shared" ca="1" si="182"/>
        <v>0</v>
      </c>
      <c r="CB68" s="16">
        <f t="shared" ca="1" si="195"/>
        <v>12</v>
      </c>
      <c r="CC68" s="16"/>
      <c r="CD68" s="16">
        <f t="shared" ca="1" si="183"/>
        <v>12</v>
      </c>
      <c r="CE68" s="16">
        <f t="shared" ca="1" si="196"/>
        <v>11</v>
      </c>
      <c r="CF68" s="16">
        <f t="shared" ca="1" si="197"/>
        <v>12</v>
      </c>
      <c r="DJ68" s="16">
        <f t="shared" ca="1" si="184"/>
        <v>1</v>
      </c>
      <c r="DK68" s="16"/>
      <c r="DL68" s="16">
        <f t="shared" ca="1" si="185"/>
        <v>1</v>
      </c>
      <c r="DM68" s="16" t="str">
        <f t="shared" ca="1" si="186"/>
        <v>1.1</v>
      </c>
      <c r="DN68" s="16" cm="1">
        <f t="array" aca="1" ref="DN68" ca="1">OFFSET(Horarios!$P$3,DJ68-1,0,DL68,1)</f>
        <v>1</v>
      </c>
      <c r="DO68" s="16"/>
      <c r="DP68" s="16">
        <v>11</v>
      </c>
      <c r="DQ68" s="16" t="str">
        <f t="shared" ca="1" si="198"/>
        <v>Suecia</v>
      </c>
    </row>
    <row r="69" spans="1:121" ht="16" customHeight="1" x14ac:dyDescent="0.2">
      <c r="A69" s="16" t="str">
        <f ca="1">+Equipos!B34</f>
        <v>Francia</v>
      </c>
      <c r="B69" s="16"/>
      <c r="C69" s="16"/>
      <c r="D69" s="16" t="str">
        <f t="shared" si="217"/>
        <v>Pendiente</v>
      </c>
      <c r="E69" s="16" t="str">
        <f t="shared" si="218"/>
        <v>-</v>
      </c>
      <c r="F69" s="16" t="str">
        <f t="shared" si="219"/>
        <v>-</v>
      </c>
      <c r="G69" s="16"/>
      <c r="H69" s="16" t="str">
        <f t="shared" si="220"/>
        <v>-</v>
      </c>
      <c r="I69" s="16" t="str">
        <f t="shared" si="221"/>
        <v>-</v>
      </c>
      <c r="J69" s="16"/>
      <c r="K69" s="16" t="str">
        <f t="shared" si="222"/>
        <v>-</v>
      </c>
      <c r="L69" s="16" t="str">
        <f t="shared" si="223"/>
        <v>-</v>
      </c>
      <c r="M69" s="16"/>
      <c r="N69" s="16" t="str">
        <f t="shared" si="224"/>
        <v>-</v>
      </c>
      <c r="O69" s="16" t="str">
        <f t="shared" si="225"/>
        <v>-</v>
      </c>
      <c r="P69" s="16"/>
      <c r="Q69" s="16" t="str">
        <f t="shared" si="226"/>
        <v>-</v>
      </c>
      <c r="R69" s="16" t="str">
        <f t="shared" si="227"/>
        <v>-</v>
      </c>
      <c r="S69" s="16"/>
      <c r="T69" s="16" t="str">
        <f t="shared" si="228"/>
        <v>-</v>
      </c>
      <c r="U69" s="16" t="str">
        <f t="shared" si="229"/>
        <v>-</v>
      </c>
      <c r="V69" s="17"/>
      <c r="W69" s="654"/>
      <c r="X69" s="24">
        <f ca="1">Horarios!C69</f>
        <v>46190</v>
      </c>
      <c r="Y69" s="25">
        <f ca="1">Horarios!C69</f>
        <v>46190</v>
      </c>
      <c r="Z69" s="26" t="str">
        <f>$Z$4</f>
        <v>J1</v>
      </c>
      <c r="AA69" s="27" t="str">
        <f ca="1">A71</f>
        <v>Irak</v>
      </c>
      <c r="AB69" s="49" t="str" cm="1">
        <f t="array" aca="1" ref="AB69" ca="1">Ver_flag_local</f>
        <v>🇮🇶</v>
      </c>
      <c r="AC69" s="50"/>
      <c r="AD69" s="51"/>
      <c r="AE69" s="595" t="str" cm="1">
        <f t="array" aca="1" ref="AE69" ca="1">Ver_flag_visit</f>
        <v>🇳🇴</v>
      </c>
      <c r="AF69" s="32" t="str">
        <f ca="1">A72</f>
        <v>Noruega</v>
      </c>
      <c r="AG69" s="323">
        <f t="shared" si="230"/>
        <v>0</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0</v>
      </c>
      <c r="BF69" s="16">
        <f t="shared" ca="1" si="189"/>
        <v>0</v>
      </c>
      <c r="BG69" s="16">
        <f t="shared" ca="1" si="169"/>
        <v>0</v>
      </c>
      <c r="BH69" s="16">
        <f t="shared" ca="1" si="170"/>
        <v>0</v>
      </c>
      <c r="BI69" s="16">
        <f t="shared" ca="1" si="171"/>
        <v>0</v>
      </c>
      <c r="BJ69" s="16">
        <f t="shared" ca="1" si="172"/>
        <v>0</v>
      </c>
      <c r="BK69" s="16">
        <f t="shared" ca="1" si="173"/>
        <v>0</v>
      </c>
      <c r="BL69" s="16">
        <f t="shared" ca="1" si="190"/>
        <v>0</v>
      </c>
      <c r="BM69" s="16">
        <f t="shared" ca="1" si="191"/>
        <v>7</v>
      </c>
      <c r="BN69" s="16">
        <f t="shared" ca="1" si="192"/>
        <v>7</v>
      </c>
      <c r="BO69" s="16" t="str">
        <f t="shared" si="174"/>
        <v>4L</v>
      </c>
      <c r="BP69" s="16"/>
      <c r="BQ69" s="16"/>
      <c r="BR69" s="16">
        <f t="shared" ca="1" si="175"/>
        <v>0</v>
      </c>
      <c r="BS69" s="16">
        <f t="shared" ca="1" si="193"/>
        <v>1</v>
      </c>
      <c r="BT69" s="16" t="str">
        <f t="shared" ca="1" si="194"/>
        <v>Pos. 1 (12)</v>
      </c>
      <c r="BU69" s="16">
        <f t="shared" ca="1" si="176"/>
        <v>0</v>
      </c>
      <c r="BV69" s="16">
        <f t="shared" ca="1" si="177"/>
        <v>1</v>
      </c>
      <c r="BW69" s="16" t="str">
        <f t="shared" ca="1" si="178"/>
        <v>Pos. 1 (12)</v>
      </c>
      <c r="BX69" s="16">
        <f t="shared" ca="1" si="179"/>
        <v>0</v>
      </c>
      <c r="BY69" s="16">
        <f t="shared" ca="1" si="180"/>
        <v>1</v>
      </c>
      <c r="BZ69" s="16" t="str">
        <f t="shared" ca="1" si="181"/>
        <v>Pos. 1 (12)</v>
      </c>
      <c r="CA69" s="16">
        <f t="shared" ca="1" si="182"/>
        <v>5</v>
      </c>
      <c r="CB69" s="16">
        <f ca="1">BY69+COUNTIFS(BZ$58:BZ$69,BZ69,CA$58:CA$69,"&gt;"&amp;CA69)</f>
        <v>7</v>
      </c>
      <c r="CC69" s="16"/>
      <c r="CD69" s="16">
        <f t="shared" ca="1" si="183"/>
        <v>7</v>
      </c>
      <c r="CE69" s="16">
        <f t="shared" ca="1" si="196"/>
        <v>6</v>
      </c>
      <c r="CF69" s="16">
        <f t="shared" ca="1" si="197"/>
        <v>7</v>
      </c>
      <c r="DJ69" s="16">
        <f t="shared" ca="1" si="184"/>
        <v>1</v>
      </c>
      <c r="DK69" s="16"/>
      <c r="DL69" s="16">
        <f t="shared" ca="1" si="185"/>
        <v>1</v>
      </c>
      <c r="DM69" s="16" t="str">
        <f t="shared" ca="1" si="186"/>
        <v>1.1</v>
      </c>
      <c r="DN69" s="16" cm="1">
        <f t="array" aca="1" ref="DN69" ca="1">OFFSET(Horarios!$P$3,DJ69-1,0,DL69,1)</f>
        <v>1</v>
      </c>
      <c r="DO69" s="16"/>
      <c r="DP69" s="16">
        <v>12</v>
      </c>
      <c r="DQ69" s="16" t="str">
        <f t="shared" ca="1" si="198"/>
        <v>Uzbekistán</v>
      </c>
    </row>
    <row r="70" spans="1:121" ht="16" customHeight="1" x14ac:dyDescent="0.2">
      <c r="A70" s="16" t="str">
        <f ca="1">+Equipos!B35</f>
        <v>Senegal</v>
      </c>
      <c r="B70" s="16"/>
      <c r="C70" s="16"/>
      <c r="D70" s="16" t="str">
        <f t="shared" si="217"/>
        <v>Pendiente</v>
      </c>
      <c r="E70" s="16" t="str">
        <f t="shared" si="218"/>
        <v>-</v>
      </c>
      <c r="F70" s="16" t="str">
        <f t="shared" si="219"/>
        <v>-</v>
      </c>
      <c r="G70" s="16"/>
      <c r="H70" s="16" t="str">
        <f t="shared" si="220"/>
        <v>-</v>
      </c>
      <c r="I70" s="16" t="str">
        <f t="shared" si="221"/>
        <v>-</v>
      </c>
      <c r="J70" s="16"/>
      <c r="K70" s="16" t="str">
        <f t="shared" si="222"/>
        <v>-</v>
      </c>
      <c r="L70" s="16" t="str">
        <f t="shared" si="223"/>
        <v>-</v>
      </c>
      <c r="M70" s="16"/>
      <c r="N70" s="16" t="str">
        <f t="shared" si="224"/>
        <v>-</v>
      </c>
      <c r="O70" s="16" t="str">
        <f t="shared" si="225"/>
        <v>-</v>
      </c>
      <c r="P70" s="16"/>
      <c r="Q70" s="16" t="str">
        <f t="shared" si="226"/>
        <v>-</v>
      </c>
      <c r="R70" s="16" t="str">
        <f t="shared" si="227"/>
        <v>-</v>
      </c>
      <c r="S70" s="16"/>
      <c r="T70" s="16" t="str">
        <f t="shared" si="228"/>
        <v>-</v>
      </c>
      <c r="U70" s="16" t="str">
        <f t="shared" si="229"/>
        <v>-</v>
      </c>
      <c r="V70" s="17"/>
      <c r="W70" s="654"/>
      <c r="X70" s="24">
        <f ca="1">Horarios!C70</f>
        <v>46195.958333333336</v>
      </c>
      <c r="Y70" s="25">
        <f ca="1">Horarios!C70</f>
        <v>46195.958333333336</v>
      </c>
      <c r="Z70" s="26" t="str">
        <f>$Z$6</f>
        <v>J2</v>
      </c>
      <c r="AA70" s="27" t="str">
        <f ca="1">A69</f>
        <v>Francia</v>
      </c>
      <c r="AB70" s="49" t="str" cm="1">
        <f t="array" aca="1" ref="AB70" ca="1">Ver_flag_local</f>
        <v>🇫🇷</v>
      </c>
      <c r="AC70" s="50"/>
      <c r="AD70" s="51"/>
      <c r="AE70" s="595" t="str" cm="1">
        <f t="array" aca="1" ref="AE70" ca="1">Ver_flag_visit</f>
        <v>🇮🇶</v>
      </c>
      <c r="AF70" s="32" t="str">
        <f ca="1">A71</f>
        <v>Irak</v>
      </c>
      <c r="AG70" s="323">
        <f t="shared" si="230"/>
        <v>0</v>
      </c>
      <c r="AH70" s="195">
        <v>42</v>
      </c>
      <c r="AI70" s="181" t="str">
        <f>AJ70&amp;$B$68</f>
        <v>1I</v>
      </c>
      <c r="AJ70" s="40">
        <v>1</v>
      </c>
      <c r="AK70" s="601" t="str" cm="1">
        <f t="array" aca="1" ref="AK70" ca="1">Ver_flag_visit</f>
        <v>🇫🇷</v>
      </c>
      <c r="AL70" s="34" t="str">
        <f ca="1">IFERROR(INDEX($BD$6:$BD$53,MATCH(AI70,$BN$6:$BN$53,0)),"")</f>
        <v>Francia</v>
      </c>
      <c r="AM70" s="35">
        <f t="shared" ref="AM70:AT73" ca="1" si="233">INDEX($BE$6:$BN$53,MATCH($AL70,$BD$6:$BD$53,0),MATCH(AM$5,$BE$5:$BN$5,0))</f>
        <v>0</v>
      </c>
      <c r="AN70" s="36">
        <f t="shared" ca="1" si="233"/>
        <v>0</v>
      </c>
      <c r="AO70" s="36">
        <f t="shared" ca="1" si="233"/>
        <v>0</v>
      </c>
      <c r="AP70" s="36">
        <f t="shared" ca="1" si="233"/>
        <v>0</v>
      </c>
      <c r="AQ70" s="36">
        <f t="shared" ca="1" si="233"/>
        <v>0</v>
      </c>
      <c r="AR70" s="36">
        <f t="shared" ca="1" si="233"/>
        <v>0</v>
      </c>
      <c r="AS70" s="36">
        <f t="shared" ca="1" si="233"/>
        <v>0</v>
      </c>
      <c r="AT70" s="41">
        <f t="shared" ca="1" si="233"/>
        <v>0</v>
      </c>
      <c r="AU70" s="330">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217"/>
        <v>Pendiente</v>
      </c>
      <c r="E71" s="16" t="str">
        <f t="shared" si="218"/>
        <v>-</v>
      </c>
      <c r="F71" s="16" t="str">
        <f t="shared" si="219"/>
        <v>-</v>
      </c>
      <c r="G71" s="16"/>
      <c r="H71" s="16" t="str">
        <f t="shared" si="220"/>
        <v>-</v>
      </c>
      <c r="I71" s="16" t="str">
        <f t="shared" si="221"/>
        <v>-</v>
      </c>
      <c r="J71" s="16"/>
      <c r="K71" s="16" t="str">
        <f t="shared" si="222"/>
        <v>-</v>
      </c>
      <c r="L71" s="16" t="str">
        <f t="shared" si="223"/>
        <v>-</v>
      </c>
      <c r="M71" s="16"/>
      <c r="N71" s="16" t="str">
        <f t="shared" si="224"/>
        <v>-</v>
      </c>
      <c r="O71" s="16" t="str">
        <f t="shared" si="225"/>
        <v>-</v>
      </c>
      <c r="P71" s="16"/>
      <c r="Q71" s="16" t="str">
        <f t="shared" si="226"/>
        <v>-</v>
      </c>
      <c r="R71" s="16" t="str">
        <f t="shared" si="227"/>
        <v>-</v>
      </c>
      <c r="S71" s="16"/>
      <c r="T71" s="16" t="str">
        <f t="shared" si="228"/>
        <v>-</v>
      </c>
      <c r="U71" s="16" t="str">
        <f t="shared" si="229"/>
        <v>-</v>
      </c>
      <c r="V71" s="17"/>
      <c r="W71" s="654"/>
      <c r="X71" s="24">
        <f ca="1">Horarios!C71</f>
        <v>46196.083333333336</v>
      </c>
      <c r="Y71" s="25">
        <f ca="1">Horarios!C71</f>
        <v>46196.083333333336</v>
      </c>
      <c r="Z71" s="26" t="str">
        <f>$Z$6</f>
        <v>J2</v>
      </c>
      <c r="AA71" s="27" t="str">
        <f ca="1">A72</f>
        <v>Noruega</v>
      </c>
      <c r="AB71" s="49" t="str" cm="1">
        <f t="array" aca="1" ref="AB71" ca="1">Ver_flag_local</f>
        <v>🇳🇴</v>
      </c>
      <c r="AC71" s="50"/>
      <c r="AD71" s="51"/>
      <c r="AE71" s="595" t="str" cm="1">
        <f t="array" aca="1" ref="AE71" ca="1">Ver_flag_visit</f>
        <v>🇸🇳</v>
      </c>
      <c r="AF71" s="32" t="str">
        <f ca="1">A70</f>
        <v>Senegal</v>
      </c>
      <c r="AG71" s="323">
        <f t="shared" si="230"/>
        <v>0</v>
      </c>
      <c r="AH71" s="195">
        <v>41</v>
      </c>
      <c r="AI71" s="181" t="str">
        <f t="shared" ref="AI71:AI73" si="234">AJ71&amp;$B$68</f>
        <v>2I</v>
      </c>
      <c r="AJ71" s="42">
        <v>2</v>
      </c>
      <c r="AK71" s="602" t="str" cm="1">
        <f t="array" aca="1" ref="AK71" ca="1">Ver_flag_visit</f>
        <v>🇸🇳</v>
      </c>
      <c r="AL71" s="37" t="str">
        <f ca="1">IFERROR(INDEX($BD$6:$BD$53,MATCH(AI71,$BN$6:$BN$53,0)),"")</f>
        <v>Senegal</v>
      </c>
      <c r="AM71" s="38">
        <f t="shared" ca="1" si="233"/>
        <v>0</v>
      </c>
      <c r="AN71" s="39">
        <f t="shared" ca="1" si="233"/>
        <v>0</v>
      </c>
      <c r="AO71" s="39">
        <f t="shared" ca="1" si="233"/>
        <v>0</v>
      </c>
      <c r="AP71" s="39">
        <f t="shared" ca="1" si="233"/>
        <v>0</v>
      </c>
      <c r="AQ71" s="39">
        <f t="shared" ca="1" si="233"/>
        <v>0</v>
      </c>
      <c r="AR71" s="39">
        <f t="shared" ca="1" si="233"/>
        <v>0</v>
      </c>
      <c r="AS71" s="39">
        <f t="shared" ca="1" si="233"/>
        <v>0</v>
      </c>
      <c r="AT71" s="43">
        <f t="shared" ca="1" si="233"/>
        <v>0</v>
      </c>
      <c r="AU71" s="330">
        <f ca="1">INDEX($DL$6:$DL$53,MATCH(AI71,$DP$6:$DP$53,0))</f>
        <v>1</v>
      </c>
      <c r="AV71" s="182" t="str">
        <f ca="1">INDEX($BD$6:$BD$53,MATCH(AI71,$BM$6:$BM$53,0))</f>
        <v>Senegal</v>
      </c>
      <c r="AW71" s="210"/>
      <c r="AX71" s="171"/>
      <c r="AY71" s="203" t="str">
        <f ca="1">+A70</f>
        <v>Senegal</v>
      </c>
      <c r="AZ71" s="204"/>
      <c r="BA71" s="176"/>
      <c r="DN71" s="16"/>
    </row>
    <row r="72" spans="1:121" ht="16" customHeight="1" x14ac:dyDescent="0.2">
      <c r="A72" s="16" t="str">
        <f ca="1">+Equipos!B37</f>
        <v>Noruega</v>
      </c>
      <c r="B72" s="16"/>
      <c r="C72" s="16"/>
      <c r="D72" s="16" t="str">
        <f t="shared" si="217"/>
        <v>Pendiente</v>
      </c>
      <c r="E72" s="16" t="str">
        <f t="shared" si="218"/>
        <v>-</v>
      </c>
      <c r="F72" s="16" t="str">
        <f t="shared" si="219"/>
        <v>-</v>
      </c>
      <c r="G72" s="16"/>
      <c r="H72" s="16" t="str">
        <f t="shared" si="220"/>
        <v>-</v>
      </c>
      <c r="I72" s="16" t="str">
        <f t="shared" si="221"/>
        <v>-</v>
      </c>
      <c r="J72" s="16"/>
      <c r="K72" s="16" t="str">
        <f t="shared" si="222"/>
        <v>-</v>
      </c>
      <c r="L72" s="16" t="str">
        <f t="shared" si="223"/>
        <v>-</v>
      </c>
      <c r="M72" s="16"/>
      <c r="N72" s="16" t="str">
        <f t="shared" si="224"/>
        <v>-</v>
      </c>
      <c r="O72" s="16" t="str">
        <f t="shared" si="225"/>
        <v>-</v>
      </c>
      <c r="P72" s="16"/>
      <c r="Q72" s="16" t="str">
        <f t="shared" si="226"/>
        <v>-</v>
      </c>
      <c r="R72" s="16" t="str">
        <f t="shared" si="227"/>
        <v>-</v>
      </c>
      <c r="S72" s="16"/>
      <c r="T72" s="16" t="str">
        <f t="shared" si="228"/>
        <v>-</v>
      </c>
      <c r="U72" s="16" t="str">
        <f t="shared" si="229"/>
        <v>-</v>
      </c>
      <c r="V72" s="17"/>
      <c r="W72" s="654"/>
      <c r="X72" s="24">
        <f ca="1">Horarios!C72</f>
        <v>46199.875</v>
      </c>
      <c r="Y72" s="25">
        <f ca="1">Horarios!C72</f>
        <v>46199.875</v>
      </c>
      <c r="Z72" s="26" t="str">
        <f>$Z$8</f>
        <v>J3</v>
      </c>
      <c r="AA72" s="27" t="str">
        <f ca="1">A72</f>
        <v>Noruega</v>
      </c>
      <c r="AB72" s="49" t="str" cm="1">
        <f t="array" aca="1" ref="AB72" ca="1">Ver_flag_local</f>
        <v>🇳🇴</v>
      </c>
      <c r="AC72" s="50"/>
      <c r="AD72" s="51"/>
      <c r="AE72" s="595" t="str" cm="1">
        <f t="array" aca="1" ref="AE72" ca="1">Ver_flag_visit</f>
        <v>🇫🇷</v>
      </c>
      <c r="AF72" s="32" t="str">
        <f ca="1">A69</f>
        <v>Francia</v>
      </c>
      <c r="AG72" s="323">
        <f t="shared" si="230"/>
        <v>0</v>
      </c>
      <c r="AH72" s="195">
        <v>61</v>
      </c>
      <c r="AI72" s="181" t="str">
        <f t="shared" si="234"/>
        <v>3I</v>
      </c>
      <c r="AJ72" s="42">
        <v>3</v>
      </c>
      <c r="AK72" s="602" t="str" cm="1">
        <f t="array" aca="1" ref="AK72" ca="1">Ver_flag_visit</f>
        <v>🇮🇶</v>
      </c>
      <c r="AL72" s="37" t="str">
        <f ca="1">IFERROR(INDEX($BD$6:$BD$53,MATCH(AI72,$BN$6:$BN$53,0)),"")</f>
        <v>Irak</v>
      </c>
      <c r="AM72" s="38">
        <f t="shared" ca="1" si="233"/>
        <v>0</v>
      </c>
      <c r="AN72" s="39">
        <f t="shared" ca="1" si="233"/>
        <v>0</v>
      </c>
      <c r="AO72" s="39">
        <f t="shared" ca="1" si="233"/>
        <v>0</v>
      </c>
      <c r="AP72" s="39">
        <f t="shared" ca="1" si="233"/>
        <v>0</v>
      </c>
      <c r="AQ72" s="39">
        <f t="shared" ca="1" si="233"/>
        <v>0</v>
      </c>
      <c r="AR72" s="39">
        <f t="shared" ca="1" si="233"/>
        <v>0</v>
      </c>
      <c r="AS72" s="39">
        <f t="shared" ca="1" si="233"/>
        <v>0</v>
      </c>
      <c r="AT72" s="43">
        <f t="shared" ca="1" si="233"/>
        <v>0</v>
      </c>
      <c r="AU72" s="330">
        <f ca="1">INDEX($DL$6:$DL$53,MATCH(AI72,$DP$6:$DP$53,0))</f>
        <v>1</v>
      </c>
      <c r="AV72" s="182" t="str">
        <f ca="1">INDEX($BD$6:$BD$53,MATCH(AI72,$BM$6:$BM$53,0))</f>
        <v>Irak</v>
      </c>
      <c r="AW72" s="210"/>
      <c r="AX72" s="171"/>
      <c r="AY72" s="201" t="str">
        <f ca="1">+A71</f>
        <v>Irak</v>
      </c>
      <c r="AZ72" s="202"/>
      <c r="BA72" s="176"/>
      <c r="DN72" s="16"/>
    </row>
    <row r="73" spans="1:121" ht="16" customHeight="1" thickBot="1" x14ac:dyDescent="0.25">
      <c r="A73" s="16"/>
      <c r="B73" s="16"/>
      <c r="C73" s="16"/>
      <c r="D73" s="16" t="str">
        <f t="shared" si="217"/>
        <v>Pendiente</v>
      </c>
      <c r="E73" s="16" t="str">
        <f t="shared" si="218"/>
        <v>-</v>
      </c>
      <c r="F73" s="16" t="str">
        <f t="shared" si="219"/>
        <v>-</v>
      </c>
      <c r="G73" s="16"/>
      <c r="H73" s="16" t="str">
        <f t="shared" si="220"/>
        <v>-</v>
      </c>
      <c r="I73" s="16" t="str">
        <f t="shared" si="221"/>
        <v>-</v>
      </c>
      <c r="J73" s="16"/>
      <c r="K73" s="16" t="str">
        <f t="shared" si="222"/>
        <v>-</v>
      </c>
      <c r="L73" s="16" t="str">
        <f t="shared" si="223"/>
        <v>-</v>
      </c>
      <c r="M73" s="16"/>
      <c r="N73" s="16" t="str">
        <f t="shared" si="224"/>
        <v>-</v>
      </c>
      <c r="O73" s="16" t="str">
        <f t="shared" si="225"/>
        <v>-</v>
      </c>
      <c r="P73" s="16"/>
      <c r="Q73" s="16" t="str">
        <f t="shared" si="226"/>
        <v>-</v>
      </c>
      <c r="R73" s="16" t="str">
        <f t="shared" si="227"/>
        <v>-</v>
      </c>
      <c r="S73" s="16"/>
      <c r="T73" s="16" t="str">
        <f t="shared" si="228"/>
        <v>-</v>
      </c>
      <c r="U73" s="16" t="str">
        <f t="shared" si="229"/>
        <v>-</v>
      </c>
      <c r="V73" s="17"/>
      <c r="W73" s="655"/>
      <c r="X73" s="28">
        <f ca="1">Horarios!C73</f>
        <v>46199.875</v>
      </c>
      <c r="Y73" s="29">
        <f ca="1">Horarios!C73</f>
        <v>46199.875</v>
      </c>
      <c r="Z73" s="30" t="str">
        <f>$Z$8</f>
        <v>J3</v>
      </c>
      <c r="AA73" s="31" t="str">
        <f ca="1">A70</f>
        <v>Senegal</v>
      </c>
      <c r="AB73" s="52" t="str" cm="1">
        <f t="array" aca="1" ref="AB73" ca="1">Ver_flag_local</f>
        <v>🇸🇳</v>
      </c>
      <c r="AC73" s="53"/>
      <c r="AD73" s="54"/>
      <c r="AE73" s="596" t="str" cm="1">
        <f t="array" aca="1" ref="AE73" ca="1">Ver_flag_visit</f>
        <v>🇮🇶</v>
      </c>
      <c r="AF73" s="33" t="str">
        <f ca="1">A71</f>
        <v>Irak</v>
      </c>
      <c r="AG73" s="323">
        <f t="shared" si="230"/>
        <v>0</v>
      </c>
      <c r="AH73" s="195">
        <v>62</v>
      </c>
      <c r="AI73" s="181" t="str">
        <f t="shared" si="234"/>
        <v>4I</v>
      </c>
      <c r="AJ73" s="44">
        <v>4</v>
      </c>
      <c r="AK73" s="604" t="str" cm="1">
        <f t="array" aca="1" ref="AK73" ca="1">Ver_flag_visit</f>
        <v>🇳🇴</v>
      </c>
      <c r="AL73" s="45" t="str">
        <f ca="1">IFERROR(INDEX($BD$6:$BD$53,MATCH(AI73,$BN$6:$BN$53,0)),"")</f>
        <v>Noruega</v>
      </c>
      <c r="AM73" s="46">
        <f t="shared" ca="1" si="233"/>
        <v>0</v>
      </c>
      <c r="AN73" s="47">
        <f t="shared" ca="1" si="233"/>
        <v>0</v>
      </c>
      <c r="AO73" s="47">
        <f t="shared" ca="1" si="233"/>
        <v>0</v>
      </c>
      <c r="AP73" s="47">
        <f t="shared" ca="1" si="233"/>
        <v>0</v>
      </c>
      <c r="AQ73" s="47">
        <f t="shared" ca="1" si="233"/>
        <v>0</v>
      </c>
      <c r="AR73" s="47">
        <f t="shared" ca="1" si="233"/>
        <v>0</v>
      </c>
      <c r="AS73" s="47">
        <f t="shared" ca="1" si="233"/>
        <v>0</v>
      </c>
      <c r="AT73" s="48">
        <f t="shared" ca="1" si="233"/>
        <v>0</v>
      </c>
      <c r="AU73" s="330">
        <f ca="1">INDEX($DL$6:$DL$53,MATCH(AI73,$DP$6:$DP$53,0))</f>
        <v>1</v>
      </c>
      <c r="AV73" s="182" t="str">
        <f ca="1">INDEX($BD$6:$BD$53,MATCH(AI73,$BM$6:$BM$53,0))</f>
        <v>Noruega</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Pendiente</v>
      </c>
      <c r="E76" s="16" t="str">
        <f t="shared" ref="E76:E81" si="236">IF(D76="Pendiente","-",INDEX($BT$6:$BT$53,MATCH($AA76,$BD$6:$BD$53,0)))</f>
        <v>-</v>
      </c>
      <c r="F76" s="16" t="str">
        <f t="shared" ref="F76:F81" si="237">IF(D76="Pendiente","-",INDEX($BT$6:$BT$53,MATCH($AF76,$BD$6:$BD$53,0)))</f>
        <v>-</v>
      </c>
      <c r="G76" s="16"/>
      <c r="H76" s="16" t="str">
        <f t="shared" ref="H76:H81" si="238">IF(D76="Pendiente","-",INDEX($BZ$6:$BZ$53,MATCH($AA76,$BD$6:$BD$53,0)))</f>
        <v>-</v>
      </c>
      <c r="I76" s="16" t="str">
        <f t="shared" ref="I76:I81" si="239">IF(D76="Pendiente","-",INDEX($BZ$6:$BZ$53,MATCH($AF76,$BD$6:$BD$53,0)))</f>
        <v>-</v>
      </c>
      <c r="J76" s="16"/>
      <c r="K76" s="16" t="str">
        <f t="shared" ref="K76:K81" si="240">IF(D76="Pendiente","-",INDEX($CE$6:$CE$53,MATCH($AA76,$BD$6:$BD$53,0)))</f>
        <v>-</v>
      </c>
      <c r="L76" s="16" t="str">
        <f t="shared" ref="L76:L81" si="241">IF(D76="Pendiente","-",INDEX($CE$6:$CE$53,MATCH($AF76,$BD$6:$BD$53,0)))</f>
        <v>-</v>
      </c>
      <c r="M76" s="16"/>
      <c r="N76" s="16" t="str">
        <f t="shared" ref="N76:N81" si="242">IF(D76="Pendiente","-",INDEX($CH$6:$CH$53,MATCH($AA76,$BD$6:$BD$53,0)))</f>
        <v>-</v>
      </c>
      <c r="O76" s="16" t="str">
        <f t="shared" ref="O76:O81" si="243">IF(D76="Pendiente","-",INDEX($CH$6:$CH$53,MATCH($AF76,$BD$6:$BD$53,0)))</f>
        <v>-</v>
      </c>
      <c r="P76" s="16"/>
      <c r="Q76" s="16" t="str">
        <f t="shared" ref="Q76:Q81" si="244">IF(D76="Pendiente","-",INDEX($CN$6:$CN$53,MATCH($AA76,$BD$6:$BD$53,0)))</f>
        <v>-</v>
      </c>
      <c r="R76" s="16" t="str">
        <f t="shared" ref="R76:R81" si="245">IF(D76="Pendiente","-",INDEX($CN$6:$CN$53,MATCH($AF76,$BD$6:$BD$53,0)))</f>
        <v>-</v>
      </c>
      <c r="S76" s="16"/>
      <c r="T76" s="16" t="str">
        <f t="shared" ref="T76:T81" si="246">IF(D76="Pendiente","-",INDEX($CS$6:$CS$53,MATCH($AA76,$BD$6:$BD$53,0)))</f>
        <v>-</v>
      </c>
      <c r="U76" s="16" t="str">
        <f t="shared" ref="U76:U81" si="247">IF(D76="Pendiente","-",INDEX($CS$6:$CS$53,MATCH($AF76,$BD$6:$BD$53,0)))</f>
        <v>-</v>
      </c>
      <c r="V76" s="17"/>
      <c r="W76" s="650" t="s">
        <v>5</v>
      </c>
      <c r="X76" s="24">
        <f ca="1">Horarios!C76</f>
        <v>46190.125</v>
      </c>
      <c r="Y76" s="25">
        <f ca="1">Horarios!C76</f>
        <v>46190.125</v>
      </c>
      <c r="Z76" s="26" t="str">
        <f>$Z$4</f>
        <v>J1</v>
      </c>
      <c r="AA76" s="27" t="str">
        <f ca="1">A77</f>
        <v>Argentina</v>
      </c>
      <c r="AB76" s="49" t="str" cm="1">
        <f t="array" aca="1" ref="AB76" ca="1">Ver_flag_local</f>
        <v>🇦🇷</v>
      </c>
      <c r="AC76" s="50"/>
      <c r="AD76" s="51"/>
      <c r="AE76" s="595" t="str" cm="1">
        <f t="array" aca="1" ref="AE76" ca="1">Ver_flag_visit</f>
        <v>🇩🇿</v>
      </c>
      <c r="AF76" s="32" t="str">
        <f ca="1">A78</f>
        <v>Argelia</v>
      </c>
      <c r="AG76" s="323">
        <f t="shared" ref="AG76:AG81" si="248">IF(NOT(OR(ISBLANK(AC76),ISBLANK(AD76))),1,0)</f>
        <v>0</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Pendiente</v>
      </c>
      <c r="E77" s="16" t="str">
        <f t="shared" si="236"/>
        <v>-</v>
      </c>
      <c r="F77" s="16" t="str">
        <f t="shared" si="237"/>
        <v>-</v>
      </c>
      <c r="G77" s="16"/>
      <c r="H77" s="16" t="str">
        <f t="shared" si="238"/>
        <v>-</v>
      </c>
      <c r="I77" s="16" t="str">
        <f t="shared" si="239"/>
        <v>-</v>
      </c>
      <c r="J77" s="16"/>
      <c r="K77" s="16" t="str">
        <f t="shared" si="240"/>
        <v>-</v>
      </c>
      <c r="L77" s="16" t="str">
        <f t="shared" si="241"/>
        <v>-</v>
      </c>
      <c r="M77" s="16"/>
      <c r="N77" s="16" t="str">
        <f t="shared" si="242"/>
        <v>-</v>
      </c>
      <c r="O77" s="16" t="str">
        <f t="shared" si="243"/>
        <v>-</v>
      </c>
      <c r="P77" s="16"/>
      <c r="Q77" s="16" t="str">
        <f t="shared" si="244"/>
        <v>-</v>
      </c>
      <c r="R77" s="16" t="str">
        <f t="shared" si="245"/>
        <v>-</v>
      </c>
      <c r="S77" s="16"/>
      <c r="T77" s="16" t="str">
        <f t="shared" si="246"/>
        <v>-</v>
      </c>
      <c r="U77" s="16" t="str">
        <f t="shared" si="247"/>
        <v>-</v>
      </c>
      <c r="V77" s="17"/>
      <c r="W77" s="650"/>
      <c r="X77" s="24">
        <f ca="1">Horarios!C77</f>
        <v>46190.25</v>
      </c>
      <c r="Y77" s="25">
        <f ca="1">Horarios!C77</f>
        <v>46190.25</v>
      </c>
      <c r="Z77" s="26" t="str">
        <f>$Z$4</f>
        <v>J1</v>
      </c>
      <c r="AA77" s="27" t="str">
        <f ca="1">A79</f>
        <v>Austria</v>
      </c>
      <c r="AB77" s="49" t="str" cm="1">
        <f t="array" aca="1" ref="AB77" ca="1">Ver_flag_local</f>
        <v>🇦🇹</v>
      </c>
      <c r="AC77" s="50"/>
      <c r="AD77" s="51"/>
      <c r="AE77" s="595" t="str" cm="1">
        <f t="array" aca="1" ref="AE77" ca="1">Ver_flag_visit</f>
        <v>🇯🇴</v>
      </c>
      <c r="AF77" s="32" t="str">
        <f ca="1">A80</f>
        <v>Jordania</v>
      </c>
      <c r="AG77" s="323">
        <f t="shared" si="248"/>
        <v>0</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35"/>
        <v>Pendiente</v>
      </c>
      <c r="E78" s="16" t="str">
        <f t="shared" si="236"/>
        <v>-</v>
      </c>
      <c r="F78" s="16" t="str">
        <f t="shared" si="237"/>
        <v>-</v>
      </c>
      <c r="G78" s="16"/>
      <c r="H78" s="16" t="str">
        <f t="shared" si="238"/>
        <v>-</v>
      </c>
      <c r="I78" s="16" t="str">
        <f t="shared" si="239"/>
        <v>-</v>
      </c>
      <c r="J78" s="16"/>
      <c r="K78" s="16" t="str">
        <f t="shared" si="240"/>
        <v>-</v>
      </c>
      <c r="L78" s="16" t="str">
        <f t="shared" si="241"/>
        <v>-</v>
      </c>
      <c r="M78" s="16"/>
      <c r="N78" s="16" t="str">
        <f t="shared" si="242"/>
        <v>-</v>
      </c>
      <c r="O78" s="16" t="str">
        <f t="shared" si="243"/>
        <v>-</v>
      </c>
      <c r="P78" s="16"/>
      <c r="Q78" s="16" t="str">
        <f t="shared" si="244"/>
        <v>-</v>
      </c>
      <c r="R78" s="16" t="str">
        <f t="shared" si="245"/>
        <v>-</v>
      </c>
      <c r="S78" s="16"/>
      <c r="T78" s="16" t="str">
        <f t="shared" si="246"/>
        <v>-</v>
      </c>
      <c r="U78" s="16" t="str">
        <f t="shared" si="247"/>
        <v>-</v>
      </c>
      <c r="V78" s="17"/>
      <c r="W78" s="650"/>
      <c r="X78" s="24">
        <f ca="1">Horarios!C78</f>
        <v>46195.791666666664</v>
      </c>
      <c r="Y78" s="25">
        <f ca="1">Horarios!C78</f>
        <v>46195.791666666664</v>
      </c>
      <c r="Z78" s="26" t="str">
        <f>$Z$6</f>
        <v>J2</v>
      </c>
      <c r="AA78" s="27" t="str">
        <f ca="1">A77</f>
        <v>Argentina</v>
      </c>
      <c r="AB78" s="49" t="str" cm="1">
        <f t="array" aca="1" ref="AB78" ca="1">Ver_flag_local</f>
        <v>🇦🇷</v>
      </c>
      <c r="AC78" s="50"/>
      <c r="AD78" s="51"/>
      <c r="AE78" s="595" t="str" cm="1">
        <f t="array" aca="1" ref="AE78" ca="1">Ver_flag_visit</f>
        <v>🇦🇹</v>
      </c>
      <c r="AF78" s="32" t="str">
        <f ca="1">A79</f>
        <v>Austria</v>
      </c>
      <c r="AG78" s="323">
        <f t="shared" si="248"/>
        <v>0</v>
      </c>
      <c r="AH78" s="195">
        <v>43</v>
      </c>
      <c r="AI78" s="181" t="str">
        <f>AJ78&amp;$B$76</f>
        <v>1J</v>
      </c>
      <c r="AJ78" s="40">
        <v>1</v>
      </c>
      <c r="AK78" s="601" t="str" cm="1">
        <f t="array" aca="1" ref="AK78" ca="1">Ver_flag_visit</f>
        <v>🇦🇷</v>
      </c>
      <c r="AL78" s="34" t="str">
        <f ca="1">IFERROR(INDEX($BD$6:$BD$53,MATCH(AI78,$BN$6:$BN$53,0)),"")</f>
        <v>Argentina</v>
      </c>
      <c r="AM78" s="35">
        <f t="shared" ref="AM78:AT81" ca="1" si="251">INDEX($BE$6:$BN$53,MATCH($AL78,$BD$6:$BD$53,0),MATCH(AM$5,$BE$5:$BN$5,0))</f>
        <v>0</v>
      </c>
      <c r="AN78" s="36">
        <f t="shared" ca="1" si="251"/>
        <v>0</v>
      </c>
      <c r="AO78" s="36">
        <f t="shared" ca="1" si="251"/>
        <v>0</v>
      </c>
      <c r="AP78" s="36">
        <f t="shared" ca="1" si="251"/>
        <v>0</v>
      </c>
      <c r="AQ78" s="36">
        <f t="shared" ca="1" si="251"/>
        <v>0</v>
      </c>
      <c r="AR78" s="36">
        <f t="shared" ca="1" si="251"/>
        <v>0</v>
      </c>
      <c r="AS78" s="36">
        <f t="shared" ca="1" si="251"/>
        <v>0</v>
      </c>
      <c r="AT78" s="41">
        <f t="shared" ca="1" si="251"/>
        <v>0</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Pendiente</v>
      </c>
      <c r="E79" s="16" t="str">
        <f t="shared" si="236"/>
        <v>-</v>
      </c>
      <c r="F79" s="16" t="str">
        <f t="shared" si="237"/>
        <v>-</v>
      </c>
      <c r="G79" s="16"/>
      <c r="H79" s="16" t="str">
        <f t="shared" si="238"/>
        <v>-</v>
      </c>
      <c r="I79" s="16" t="str">
        <f t="shared" si="239"/>
        <v>-</v>
      </c>
      <c r="J79" s="16"/>
      <c r="K79" s="16" t="str">
        <f t="shared" si="240"/>
        <v>-</v>
      </c>
      <c r="L79" s="16" t="str">
        <f t="shared" si="241"/>
        <v>-</v>
      </c>
      <c r="M79" s="16"/>
      <c r="N79" s="16" t="str">
        <f t="shared" si="242"/>
        <v>-</v>
      </c>
      <c r="O79" s="16" t="str">
        <f t="shared" si="243"/>
        <v>-</v>
      </c>
      <c r="P79" s="16"/>
      <c r="Q79" s="16" t="str">
        <f t="shared" si="244"/>
        <v>-</v>
      </c>
      <c r="R79" s="16" t="str">
        <f t="shared" si="245"/>
        <v>-</v>
      </c>
      <c r="S79" s="16"/>
      <c r="T79" s="16" t="str">
        <f t="shared" si="246"/>
        <v>-</v>
      </c>
      <c r="U79" s="16" t="str">
        <f t="shared" si="247"/>
        <v>-</v>
      </c>
      <c r="V79" s="17"/>
      <c r="W79" s="650"/>
      <c r="X79" s="24">
        <f ca="1">Horarios!C79</f>
        <v>46196.208333333336</v>
      </c>
      <c r="Y79" s="25">
        <f ca="1">Horarios!C79</f>
        <v>46196.208333333336</v>
      </c>
      <c r="Z79" s="26" t="str">
        <f>$Z$6</f>
        <v>J2</v>
      </c>
      <c r="AA79" s="27" t="str">
        <f ca="1">A80</f>
        <v>Jordania</v>
      </c>
      <c r="AB79" s="49" t="str" cm="1">
        <f t="array" aca="1" ref="AB79" ca="1">Ver_flag_local</f>
        <v>🇯🇴</v>
      </c>
      <c r="AC79" s="50"/>
      <c r="AD79" s="51"/>
      <c r="AE79" s="595" t="str" cm="1">
        <f t="array" aca="1" ref="AE79" ca="1">Ver_flag_visit</f>
        <v>🇩🇿</v>
      </c>
      <c r="AF79" s="32" t="str">
        <f ca="1">A78</f>
        <v>Argelia</v>
      </c>
      <c r="AG79" s="323">
        <f t="shared" si="248"/>
        <v>0</v>
      </c>
      <c r="AH79" s="195">
        <v>44</v>
      </c>
      <c r="AI79" s="181" t="str">
        <f t="shared" ref="AI79:AI81" si="252">AJ79&amp;$B$76</f>
        <v>2J</v>
      </c>
      <c r="AJ79" s="42">
        <v>2</v>
      </c>
      <c r="AK79" s="602" t="str" cm="1">
        <f t="array" aca="1" ref="AK79" ca="1">Ver_flag_visit</f>
        <v>🇩🇿</v>
      </c>
      <c r="AL79" s="37" t="str">
        <f ca="1">IFERROR(INDEX($BD$6:$BD$53,MATCH(AI79,$BN$6:$BN$53,0)),"")</f>
        <v>Argelia</v>
      </c>
      <c r="AM79" s="38">
        <f t="shared" ca="1" si="251"/>
        <v>0</v>
      </c>
      <c r="AN79" s="39">
        <f t="shared" ca="1" si="251"/>
        <v>0</v>
      </c>
      <c r="AO79" s="39">
        <f t="shared" ca="1" si="251"/>
        <v>0</v>
      </c>
      <c r="AP79" s="39">
        <f t="shared" ca="1" si="251"/>
        <v>0</v>
      </c>
      <c r="AQ79" s="39">
        <f t="shared" ca="1" si="251"/>
        <v>0</v>
      </c>
      <c r="AR79" s="39">
        <f t="shared" ca="1" si="251"/>
        <v>0</v>
      </c>
      <c r="AS79" s="39">
        <f t="shared" ca="1" si="251"/>
        <v>0</v>
      </c>
      <c r="AT79" s="43">
        <f t="shared" ca="1" si="251"/>
        <v>0</v>
      </c>
      <c r="AU79" s="330">
        <f ca="1">INDEX($DL$6:$DL$53,MATCH(AI79,$DP$6:$DP$53,0))</f>
        <v>1</v>
      </c>
      <c r="AV79" s="182" t="str">
        <f ca="1">INDEX($BD$6:$BD$53,MATCH(AI79,$BM$6:$BM$53,0))</f>
        <v>Argelia</v>
      </c>
      <c r="AW79" s="210"/>
      <c r="AX79" s="171"/>
      <c r="AY79" s="203" t="str">
        <f ca="1">+A78</f>
        <v>Argelia</v>
      </c>
      <c r="AZ79" s="204"/>
      <c r="BA79" s="176"/>
      <c r="DN79" s="16"/>
    </row>
    <row r="80" spans="1:121" ht="16" customHeight="1" x14ac:dyDescent="0.2">
      <c r="A80" s="16" t="str">
        <f ca="1">+Equipos!B41</f>
        <v>Jordania</v>
      </c>
      <c r="B80" s="16"/>
      <c r="C80" s="16"/>
      <c r="D80" s="16" t="str">
        <f t="shared" si="235"/>
        <v>Pendiente</v>
      </c>
      <c r="E80" s="16" t="str">
        <f t="shared" si="236"/>
        <v>-</v>
      </c>
      <c r="F80" s="16" t="str">
        <f t="shared" si="237"/>
        <v>-</v>
      </c>
      <c r="G80" s="16"/>
      <c r="H80" s="16" t="str">
        <f t="shared" si="238"/>
        <v>-</v>
      </c>
      <c r="I80" s="16" t="str">
        <f t="shared" si="239"/>
        <v>-</v>
      </c>
      <c r="J80" s="16"/>
      <c r="K80" s="16" t="str">
        <f t="shared" si="240"/>
        <v>-</v>
      </c>
      <c r="L80" s="16" t="str">
        <f t="shared" si="241"/>
        <v>-</v>
      </c>
      <c r="M80" s="16"/>
      <c r="N80" s="16" t="str">
        <f t="shared" si="242"/>
        <v>-</v>
      </c>
      <c r="O80" s="16" t="str">
        <f t="shared" si="243"/>
        <v>-</v>
      </c>
      <c r="P80" s="16"/>
      <c r="Q80" s="16" t="str">
        <f t="shared" si="244"/>
        <v>-</v>
      </c>
      <c r="R80" s="16" t="str">
        <f t="shared" si="245"/>
        <v>-</v>
      </c>
      <c r="S80" s="16"/>
      <c r="T80" s="16" t="str">
        <f t="shared" si="246"/>
        <v>-</v>
      </c>
      <c r="U80" s="16" t="str">
        <f t="shared" si="247"/>
        <v>-</v>
      </c>
      <c r="V80" s="17"/>
      <c r="W80" s="650"/>
      <c r="X80" s="24">
        <f ca="1">Horarios!C80</f>
        <v>46201.166666666664</v>
      </c>
      <c r="Y80" s="25">
        <f ca="1">Horarios!C80</f>
        <v>46201.166666666664</v>
      </c>
      <c r="Z80" s="26" t="str">
        <f>$Z$8</f>
        <v>J3</v>
      </c>
      <c r="AA80" s="27" t="str">
        <f ca="1">A78</f>
        <v>Argelia</v>
      </c>
      <c r="AB80" s="49" t="str" cm="1">
        <f t="array" aca="1" ref="AB80" ca="1">Ver_flag_local</f>
        <v>🇩🇿</v>
      </c>
      <c r="AC80" s="50"/>
      <c r="AD80" s="51"/>
      <c r="AE80" s="595" t="str" cm="1">
        <f t="array" aca="1" ref="AE80" ca="1">Ver_flag_visit</f>
        <v>🇦🇹</v>
      </c>
      <c r="AF80" s="32" t="str">
        <f ca="1">A79</f>
        <v>Austria</v>
      </c>
      <c r="AG80" s="323">
        <f t="shared" si="248"/>
        <v>0</v>
      </c>
      <c r="AH80" s="195">
        <v>69</v>
      </c>
      <c r="AI80" s="181" t="str">
        <f t="shared" si="252"/>
        <v>3J</v>
      </c>
      <c r="AJ80" s="42">
        <v>3</v>
      </c>
      <c r="AK80" s="602" t="str" cm="1">
        <f t="array" aca="1" ref="AK80" ca="1">Ver_flag_visit</f>
        <v>🇦🇹</v>
      </c>
      <c r="AL80" s="37" t="str">
        <f ca="1">IFERROR(INDEX($BD$6:$BD$53,MATCH(AI80,$BN$6:$BN$53,0)),"")</f>
        <v>Austria</v>
      </c>
      <c r="AM80" s="38">
        <f t="shared" ca="1" si="251"/>
        <v>0</v>
      </c>
      <c r="AN80" s="39">
        <f t="shared" ca="1" si="251"/>
        <v>0</v>
      </c>
      <c r="AO80" s="39">
        <f t="shared" ca="1" si="251"/>
        <v>0</v>
      </c>
      <c r="AP80" s="39">
        <f t="shared" ca="1" si="251"/>
        <v>0</v>
      </c>
      <c r="AQ80" s="39">
        <f t="shared" ca="1" si="251"/>
        <v>0</v>
      </c>
      <c r="AR80" s="39">
        <f t="shared" ca="1" si="251"/>
        <v>0</v>
      </c>
      <c r="AS80" s="39">
        <f t="shared" ca="1" si="251"/>
        <v>0</v>
      </c>
      <c r="AT80" s="43">
        <f t="shared" ca="1" si="251"/>
        <v>0</v>
      </c>
      <c r="AU80" s="330">
        <f ca="1">INDEX($DL$6:$DL$53,MATCH(AI80,$DP$6:$DP$53,0))</f>
        <v>1</v>
      </c>
      <c r="AV80" s="182" t="str">
        <f ca="1">INDEX($BD$6:$BD$53,MATCH(AI80,$BM$6:$BM$53,0))</f>
        <v>Austria</v>
      </c>
      <c r="AW80" s="210"/>
      <c r="AX80" s="171"/>
      <c r="AY80" s="201" t="str">
        <f ca="1">+A79</f>
        <v>Austria</v>
      </c>
      <c r="AZ80" s="202"/>
      <c r="BA80" s="176"/>
      <c r="DN80" s="16"/>
    </row>
    <row r="81" spans="1:118" ht="16" customHeight="1" thickBot="1" x14ac:dyDescent="0.25">
      <c r="A81" s="16"/>
      <c r="B81" s="16"/>
      <c r="C81" s="16"/>
      <c r="D81" s="16" t="str">
        <f t="shared" si="235"/>
        <v>Pendiente</v>
      </c>
      <c r="E81" s="16" t="str">
        <f t="shared" si="236"/>
        <v>-</v>
      </c>
      <c r="F81" s="16" t="str">
        <f t="shared" si="237"/>
        <v>-</v>
      </c>
      <c r="G81" s="16"/>
      <c r="H81" s="16" t="str">
        <f t="shared" si="238"/>
        <v>-</v>
      </c>
      <c r="I81" s="16" t="str">
        <f t="shared" si="239"/>
        <v>-</v>
      </c>
      <c r="J81" s="16"/>
      <c r="K81" s="16" t="str">
        <f t="shared" si="240"/>
        <v>-</v>
      </c>
      <c r="L81" s="16" t="str">
        <f t="shared" si="241"/>
        <v>-</v>
      </c>
      <c r="M81" s="16"/>
      <c r="N81" s="16" t="str">
        <f t="shared" si="242"/>
        <v>-</v>
      </c>
      <c r="O81" s="16" t="str">
        <f t="shared" si="243"/>
        <v>-</v>
      </c>
      <c r="P81" s="16"/>
      <c r="Q81" s="16" t="str">
        <f t="shared" si="244"/>
        <v>-</v>
      </c>
      <c r="R81" s="16" t="str">
        <f t="shared" si="245"/>
        <v>-</v>
      </c>
      <c r="S81" s="16"/>
      <c r="T81" s="16" t="str">
        <f t="shared" si="246"/>
        <v>-</v>
      </c>
      <c r="U81" s="16" t="str">
        <f t="shared" si="247"/>
        <v>-</v>
      </c>
      <c r="V81" s="17"/>
      <c r="W81" s="651"/>
      <c r="X81" s="28">
        <f ca="1">Horarios!C81</f>
        <v>46201.166666666664</v>
      </c>
      <c r="Y81" s="29">
        <f ca="1">Horarios!C81</f>
        <v>46201.166666666664</v>
      </c>
      <c r="Z81" s="30" t="str">
        <f>$Z$8</f>
        <v>J3</v>
      </c>
      <c r="AA81" s="31" t="str">
        <f ca="1">A80</f>
        <v>Jordania</v>
      </c>
      <c r="AB81" s="52" t="str" cm="1">
        <f t="array" aca="1" ref="AB81" ca="1">Ver_flag_local</f>
        <v>🇯🇴</v>
      </c>
      <c r="AC81" s="53"/>
      <c r="AD81" s="54"/>
      <c r="AE81" s="596" t="str" cm="1">
        <f t="array" aca="1" ref="AE81" ca="1">Ver_flag_visit</f>
        <v>🇦🇷</v>
      </c>
      <c r="AF81" s="33" t="str">
        <f ca="1">A77</f>
        <v>Argentina</v>
      </c>
      <c r="AG81" s="323">
        <f t="shared" si="248"/>
        <v>0</v>
      </c>
      <c r="AH81" s="195">
        <v>70</v>
      </c>
      <c r="AI81" s="181" t="str">
        <f t="shared" si="252"/>
        <v>4J</v>
      </c>
      <c r="AJ81" s="44">
        <v>4</v>
      </c>
      <c r="AK81" s="604" t="str" cm="1">
        <f t="array" aca="1" ref="AK81" ca="1">Ver_flag_visit</f>
        <v>🇯🇴</v>
      </c>
      <c r="AL81" s="45" t="str">
        <f ca="1">IFERROR(INDEX($BD$6:$BD$53,MATCH(AI81,$BN$6:$BN$53,0)),"")</f>
        <v>Jordania</v>
      </c>
      <c r="AM81" s="46">
        <f t="shared" ca="1" si="251"/>
        <v>0</v>
      </c>
      <c r="AN81" s="47">
        <f t="shared" ca="1" si="251"/>
        <v>0</v>
      </c>
      <c r="AO81" s="47">
        <f t="shared" ca="1" si="251"/>
        <v>0</v>
      </c>
      <c r="AP81" s="47">
        <f t="shared" ca="1" si="251"/>
        <v>0</v>
      </c>
      <c r="AQ81" s="47">
        <f t="shared" ca="1" si="251"/>
        <v>0</v>
      </c>
      <c r="AR81" s="47">
        <f t="shared" ca="1" si="251"/>
        <v>0</v>
      </c>
      <c r="AS81" s="47">
        <f t="shared" ca="1" si="251"/>
        <v>0</v>
      </c>
      <c r="AT81" s="48">
        <f t="shared" ca="1" si="251"/>
        <v>0</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Pendiente</v>
      </c>
      <c r="E84" s="16" t="str">
        <f t="shared" ref="E84:E89" si="254">IF(D84="Pendiente","-",INDEX($BT$6:$BT$53,MATCH($AA84,$BD$6:$BD$53,0)))</f>
        <v>-</v>
      </c>
      <c r="F84" s="16" t="str">
        <f t="shared" ref="F84:F89" si="255">IF(D84="Pendiente","-",INDEX($BT$6:$BT$53,MATCH($AF84,$BD$6:$BD$53,0)))</f>
        <v>-</v>
      </c>
      <c r="G84" s="16"/>
      <c r="H84" s="16" t="str">
        <f t="shared" ref="H84:H89" si="256">IF(D84="Pendiente","-",INDEX($BZ$6:$BZ$53,MATCH($AA84,$BD$6:$BD$53,0)))</f>
        <v>-</v>
      </c>
      <c r="I84" s="16" t="str">
        <f t="shared" ref="I84:I89" si="257">IF(D84="Pendiente","-",INDEX($BZ$6:$BZ$53,MATCH($AF84,$BD$6:$BD$53,0)))</f>
        <v>-</v>
      </c>
      <c r="J84" s="16"/>
      <c r="K84" s="16" t="str">
        <f t="shared" ref="K84:K89" si="258">IF(D84="Pendiente","-",INDEX($CE$6:$CE$53,MATCH($AA84,$BD$6:$BD$53,0)))</f>
        <v>-</v>
      </c>
      <c r="L84" s="16" t="str">
        <f t="shared" ref="L84:L89" si="259">IF(D84="Pendiente","-",INDEX($CE$6:$CE$53,MATCH($AF84,$BD$6:$BD$53,0)))</f>
        <v>-</v>
      </c>
      <c r="M84" s="16"/>
      <c r="N84" s="16" t="str">
        <f t="shared" ref="N84:N89" si="260">IF(D84="Pendiente","-",INDEX($CH$6:$CH$53,MATCH($AA84,$BD$6:$BD$53,0)))</f>
        <v>-</v>
      </c>
      <c r="O84" s="16" t="str">
        <f t="shared" ref="O84:O89" si="261">IF(D84="Pendiente","-",INDEX($CH$6:$CH$53,MATCH($AF84,$BD$6:$BD$53,0)))</f>
        <v>-</v>
      </c>
      <c r="P84" s="16"/>
      <c r="Q84" s="16" t="str">
        <f t="shared" ref="Q84:Q89" si="262">IF(D84="Pendiente","-",INDEX($CN$6:$CN$53,MATCH($AA84,$BD$6:$BD$53,0)))</f>
        <v>-</v>
      </c>
      <c r="R84" s="16" t="str">
        <f t="shared" ref="R84:R89" si="263">IF(D84="Pendiente","-",INDEX($CN$6:$CN$53,MATCH($AF84,$BD$6:$BD$53,0)))</f>
        <v>-</v>
      </c>
      <c r="S84" s="16"/>
      <c r="T84" s="16" t="str">
        <f t="shared" ref="T84:T89" si="264">IF(D84="Pendiente","-",INDEX($CS$6:$CS$53,MATCH($AA84,$BD$6:$BD$53,0)))</f>
        <v>-</v>
      </c>
      <c r="U84" s="16" t="str">
        <f t="shared" ref="U84:U89"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v>
      </c>
      <c r="AC84" s="50"/>
      <c r="AD84" s="51"/>
      <c r="AE84" s="595" t="str" cm="1">
        <f t="array" aca="1" ref="AE84" ca="1">Ver_flag_visit</f>
        <v>🇨🇩</v>
      </c>
      <c r="AF84" s="32" t="str">
        <f ca="1">A86</f>
        <v>RD Congo</v>
      </c>
      <c r="AG84" s="323">
        <f t="shared" ref="AG84:AG89" si="266">IF(NOT(OR(ISBLANK(AC84),ISBLANK(AD84))),1,0)</f>
        <v>0</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Pendiente</v>
      </c>
      <c r="E85" s="16" t="str">
        <f t="shared" si="254"/>
        <v>-</v>
      </c>
      <c r="F85" s="16" t="str">
        <f t="shared" si="255"/>
        <v>-</v>
      </c>
      <c r="G85" s="16"/>
      <c r="H85" s="16" t="str">
        <f t="shared" si="256"/>
        <v>-</v>
      </c>
      <c r="I85" s="16" t="str">
        <f t="shared" si="257"/>
        <v>-</v>
      </c>
      <c r="J85" s="16"/>
      <c r="K85" s="16" t="str">
        <f t="shared" si="258"/>
        <v>-</v>
      </c>
      <c r="L85" s="16" t="str">
        <f t="shared" si="259"/>
        <v>-</v>
      </c>
      <c r="M85" s="16"/>
      <c r="N85" s="16" t="str">
        <f t="shared" si="260"/>
        <v>-</v>
      </c>
      <c r="O85" s="16" t="str">
        <f t="shared" si="261"/>
        <v>-</v>
      </c>
      <c r="P85" s="16"/>
      <c r="Q85" s="16" t="str">
        <f t="shared" si="262"/>
        <v>-</v>
      </c>
      <c r="R85" s="16" t="str">
        <f t="shared" si="263"/>
        <v>-</v>
      </c>
      <c r="S85" s="16"/>
      <c r="T85" s="16" t="str">
        <f t="shared" si="264"/>
        <v>-</v>
      </c>
      <c r="U85" s="16" t="str">
        <f t="shared" si="265"/>
        <v>-</v>
      </c>
      <c r="V85" s="17"/>
      <c r="W85" s="656"/>
      <c r="X85" s="24">
        <f ca="1">Horarios!C85</f>
        <v>46191.166666666664</v>
      </c>
      <c r="Y85" s="25">
        <f ca="1">Horarios!C85</f>
        <v>46191.166666666664</v>
      </c>
      <c r="Z85" s="26" t="str">
        <f>$Z$4</f>
        <v>J1</v>
      </c>
      <c r="AA85" s="27" t="str">
        <f ca="1">A87</f>
        <v>Uzbekistán</v>
      </c>
      <c r="AB85" s="49" t="str" cm="1">
        <f t="array" aca="1" ref="AB85" ca="1">Ver_flag_local</f>
        <v>🇺🇿</v>
      </c>
      <c r="AC85" s="50"/>
      <c r="AD85" s="51"/>
      <c r="AE85" s="595" t="str" cm="1">
        <f t="array" aca="1" ref="AE85" ca="1">Ver_flag_visit</f>
        <v>🇨🇴</v>
      </c>
      <c r="AF85" s="32" t="str">
        <f ca="1">A88</f>
        <v>Colombia</v>
      </c>
      <c r="AG85" s="323">
        <f t="shared" si="266"/>
        <v>0</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53"/>
        <v>Pendiente</v>
      </c>
      <c r="E86" s="16" t="str">
        <f t="shared" si="254"/>
        <v>-</v>
      </c>
      <c r="F86" s="16" t="str">
        <f t="shared" si="255"/>
        <v>-</v>
      </c>
      <c r="G86" s="16"/>
      <c r="H86" s="16" t="str">
        <f t="shared" si="256"/>
        <v>-</v>
      </c>
      <c r="I86" s="16" t="str">
        <f t="shared" si="257"/>
        <v>-</v>
      </c>
      <c r="J86" s="16"/>
      <c r="K86" s="16" t="str">
        <f t="shared" si="258"/>
        <v>-</v>
      </c>
      <c r="L86" s="16" t="str">
        <f t="shared" si="259"/>
        <v>-</v>
      </c>
      <c r="M86" s="16"/>
      <c r="N86" s="16" t="str">
        <f t="shared" si="260"/>
        <v>-</v>
      </c>
      <c r="O86" s="16" t="str">
        <f t="shared" si="261"/>
        <v>-</v>
      </c>
      <c r="P86" s="16"/>
      <c r="Q86" s="16" t="str">
        <f t="shared" si="262"/>
        <v>-</v>
      </c>
      <c r="R86" s="16" t="str">
        <f t="shared" si="263"/>
        <v>-</v>
      </c>
      <c r="S86" s="16"/>
      <c r="T86" s="16" t="str">
        <f t="shared" si="264"/>
        <v>-</v>
      </c>
      <c r="U86" s="16" t="str">
        <f t="shared" si="265"/>
        <v>-</v>
      </c>
      <c r="V86" s="17"/>
      <c r="W86" s="656"/>
      <c r="X86" s="24">
        <f ca="1">Horarios!C86</f>
        <v>46196.791666666664</v>
      </c>
      <c r="Y86" s="25">
        <f ca="1">Horarios!C86</f>
        <v>46196.791666666664</v>
      </c>
      <c r="Z86" s="26" t="str">
        <f>$Z$6</f>
        <v>J2</v>
      </c>
      <c r="AA86" s="27" t="str">
        <f ca="1">A85</f>
        <v>Portugal</v>
      </c>
      <c r="AB86" s="49" t="str" cm="1">
        <f t="array" aca="1" ref="AB86" ca="1">Ver_flag_local</f>
        <v>🇵🇹</v>
      </c>
      <c r="AC86" s="50"/>
      <c r="AD86" s="51"/>
      <c r="AE86" s="595" t="str" cm="1">
        <f t="array" aca="1" ref="AE86" ca="1">Ver_flag_visit</f>
        <v>🇺🇿</v>
      </c>
      <c r="AF86" s="32" t="str">
        <f ca="1">A87</f>
        <v>Uzbekistán</v>
      </c>
      <c r="AG86" s="323">
        <f t="shared" si="266"/>
        <v>0</v>
      </c>
      <c r="AH86" s="195">
        <v>47</v>
      </c>
      <c r="AI86" s="181" t="str">
        <f>AJ86&amp;$B$84</f>
        <v>1K</v>
      </c>
      <c r="AJ86" s="40">
        <v>1</v>
      </c>
      <c r="AK86" s="601" t="str" cm="1">
        <f t="array" aca="1" ref="AK86" ca="1">Ver_flag_visit</f>
        <v>🇵🇹</v>
      </c>
      <c r="AL86" s="34" t="str">
        <f ca="1">IFERROR(INDEX($BD$6:$BD$53,MATCH(AI86,$BN$6:$BN$53,0)),"")</f>
        <v>Portugal</v>
      </c>
      <c r="AM86" s="35">
        <f t="shared" ref="AM86:AT89" ca="1" si="269">INDEX($BE$6:$BN$53,MATCH($AL86,$BD$6:$BD$53,0),MATCH(AM$5,$BE$5:$BN$5,0))</f>
        <v>0</v>
      </c>
      <c r="AN86" s="36">
        <f t="shared" ca="1" si="269"/>
        <v>0</v>
      </c>
      <c r="AO86" s="36">
        <f t="shared" ca="1" si="269"/>
        <v>0</v>
      </c>
      <c r="AP86" s="36">
        <f t="shared" ca="1" si="269"/>
        <v>0</v>
      </c>
      <c r="AQ86" s="36">
        <f t="shared" ca="1" si="269"/>
        <v>0</v>
      </c>
      <c r="AR86" s="36">
        <f t="shared" ca="1" si="269"/>
        <v>0</v>
      </c>
      <c r="AS86" s="36">
        <f t="shared" ca="1" si="269"/>
        <v>0</v>
      </c>
      <c r="AT86" s="41">
        <f t="shared" ca="1" si="269"/>
        <v>0</v>
      </c>
      <c r="AU86" s="330">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53"/>
        <v>Pendiente</v>
      </c>
      <c r="E87" s="16" t="str">
        <f t="shared" si="254"/>
        <v>-</v>
      </c>
      <c r="F87" s="16" t="str">
        <f t="shared" si="255"/>
        <v>-</v>
      </c>
      <c r="G87" s="16"/>
      <c r="H87" s="16" t="str">
        <f t="shared" si="256"/>
        <v>-</v>
      </c>
      <c r="I87" s="16" t="str">
        <f t="shared" si="257"/>
        <v>-</v>
      </c>
      <c r="J87" s="16"/>
      <c r="K87" s="16" t="str">
        <f t="shared" si="258"/>
        <v>-</v>
      </c>
      <c r="L87" s="16" t="str">
        <f t="shared" si="259"/>
        <v>-</v>
      </c>
      <c r="M87" s="16"/>
      <c r="N87" s="16" t="str">
        <f t="shared" si="260"/>
        <v>-</v>
      </c>
      <c r="O87" s="16" t="str">
        <f t="shared" si="261"/>
        <v>-</v>
      </c>
      <c r="P87" s="16"/>
      <c r="Q87" s="16" t="str">
        <f t="shared" si="262"/>
        <v>-</v>
      </c>
      <c r="R87" s="16" t="str">
        <f t="shared" si="263"/>
        <v>-</v>
      </c>
      <c r="S87" s="16"/>
      <c r="T87" s="16" t="str">
        <f t="shared" si="264"/>
        <v>-</v>
      </c>
      <c r="U87" s="16" t="str">
        <f t="shared" si="265"/>
        <v>-</v>
      </c>
      <c r="V87" s="17"/>
      <c r="W87" s="656"/>
      <c r="X87" s="24">
        <f ca="1">Horarios!C87</f>
        <v>46197.166666666664</v>
      </c>
      <c r="Y87" s="25">
        <f ca="1">Horarios!C87</f>
        <v>46197.166666666664</v>
      </c>
      <c r="Z87" s="26" t="str">
        <f>$Z$6</f>
        <v>J2</v>
      </c>
      <c r="AA87" s="27" t="str">
        <f ca="1">A88</f>
        <v>Colombia</v>
      </c>
      <c r="AB87" s="49" t="str" cm="1">
        <f t="array" aca="1" ref="AB87" ca="1">Ver_flag_local</f>
        <v>🇨🇴</v>
      </c>
      <c r="AC87" s="50"/>
      <c r="AD87" s="51"/>
      <c r="AE87" s="595" t="str" cm="1">
        <f t="array" aca="1" ref="AE87" ca="1">Ver_flag_visit</f>
        <v>🇨🇩</v>
      </c>
      <c r="AF87" s="32" t="str">
        <f ca="1">A86</f>
        <v>RD Congo</v>
      </c>
      <c r="AG87" s="323">
        <f t="shared" si="266"/>
        <v>0</v>
      </c>
      <c r="AH87" s="195">
        <v>48</v>
      </c>
      <c r="AI87" s="181" t="str">
        <f t="shared" ref="AI87:AI89" si="270">AJ87&amp;$B$84</f>
        <v>2K</v>
      </c>
      <c r="AJ87" s="42">
        <v>2</v>
      </c>
      <c r="AK87" s="602" t="str" cm="1">
        <f t="array" aca="1" ref="AK87" ca="1">Ver_flag_visit</f>
        <v>🇨🇩</v>
      </c>
      <c r="AL87" s="37" t="str">
        <f ca="1">IFERROR(INDEX($BD$6:$BD$53,MATCH(AI87,$BN$6:$BN$53,0)),"")</f>
        <v>RD Congo</v>
      </c>
      <c r="AM87" s="38">
        <f t="shared" ca="1" si="269"/>
        <v>0</v>
      </c>
      <c r="AN87" s="39">
        <f t="shared" ca="1" si="269"/>
        <v>0</v>
      </c>
      <c r="AO87" s="39">
        <f t="shared" ca="1" si="269"/>
        <v>0</v>
      </c>
      <c r="AP87" s="39">
        <f t="shared" ca="1" si="269"/>
        <v>0</v>
      </c>
      <c r="AQ87" s="39">
        <f t="shared" ca="1" si="269"/>
        <v>0</v>
      </c>
      <c r="AR87" s="39">
        <f t="shared" ca="1" si="269"/>
        <v>0</v>
      </c>
      <c r="AS87" s="39">
        <f t="shared" ca="1" si="269"/>
        <v>0</v>
      </c>
      <c r="AT87" s="43">
        <f t="shared" ca="1" si="269"/>
        <v>0</v>
      </c>
      <c r="AU87" s="330">
        <f ca="1">INDEX($DL$6:$DL$53,MATCH(AI87,$DP$6:$DP$53,0))</f>
        <v>1</v>
      </c>
      <c r="AV87" s="182" t="str">
        <f ca="1">INDEX($BD$6:$BD$53,MATCH(AI87,$BM$6:$BM$53,0))</f>
        <v>RD Congo</v>
      </c>
      <c r="AW87" s="210"/>
      <c r="AX87" s="171"/>
      <c r="AY87" s="203" t="str">
        <f ca="1">+A86</f>
        <v>RD Congo</v>
      </c>
      <c r="AZ87" s="204"/>
      <c r="BA87" s="176"/>
      <c r="DN87" s="16"/>
    </row>
    <row r="88" spans="1:118" ht="16" customHeight="1" x14ac:dyDescent="0.2">
      <c r="A88" s="16" t="str">
        <f ca="1">+Equipos!B45</f>
        <v>Colombia</v>
      </c>
      <c r="B88" s="16"/>
      <c r="C88" s="16"/>
      <c r="D88" s="16" t="str">
        <f t="shared" si="253"/>
        <v>Pendiente</v>
      </c>
      <c r="E88" s="16" t="str">
        <f t="shared" si="254"/>
        <v>-</v>
      </c>
      <c r="F88" s="16" t="str">
        <f t="shared" si="255"/>
        <v>-</v>
      </c>
      <c r="G88" s="16"/>
      <c r="H88" s="16" t="str">
        <f t="shared" si="256"/>
        <v>-</v>
      </c>
      <c r="I88" s="16" t="str">
        <f t="shared" si="257"/>
        <v>-</v>
      </c>
      <c r="J88" s="16"/>
      <c r="K88" s="16" t="str">
        <f t="shared" si="258"/>
        <v>-</v>
      </c>
      <c r="L88" s="16" t="str">
        <f t="shared" si="259"/>
        <v>-</v>
      </c>
      <c r="M88" s="16"/>
      <c r="N88" s="16" t="str">
        <f t="shared" si="260"/>
        <v>-</v>
      </c>
      <c r="O88" s="16" t="str">
        <f t="shared" si="261"/>
        <v>-</v>
      </c>
      <c r="P88" s="16"/>
      <c r="Q88" s="16" t="str">
        <f t="shared" si="262"/>
        <v>-</v>
      </c>
      <c r="R88" s="16" t="str">
        <f t="shared" si="263"/>
        <v>-</v>
      </c>
      <c r="S88" s="16"/>
      <c r="T88" s="16" t="str">
        <f t="shared" si="264"/>
        <v>-</v>
      </c>
      <c r="U88" s="16" t="str">
        <f t="shared" si="265"/>
        <v>-</v>
      </c>
      <c r="V88" s="17"/>
      <c r="W88" s="656"/>
      <c r="X88" s="24">
        <f ca="1">Horarios!C88</f>
        <v>46201.0625</v>
      </c>
      <c r="Y88" s="25">
        <f ca="1">Horarios!C88</f>
        <v>46201.0625</v>
      </c>
      <c r="Z88" s="26" t="str">
        <f>$Z$8</f>
        <v>J3</v>
      </c>
      <c r="AA88" s="27" t="str">
        <f ca="1">A88</f>
        <v>Colombia</v>
      </c>
      <c r="AB88" s="49" t="str" cm="1">
        <f t="array" aca="1" ref="AB88" ca="1">Ver_flag_local</f>
        <v>🇨🇴</v>
      </c>
      <c r="AC88" s="50"/>
      <c r="AD88" s="51"/>
      <c r="AE88" s="595" t="str" cm="1">
        <f t="array" aca="1" ref="AE88" ca="1">Ver_flag_visit</f>
        <v>🇵🇹</v>
      </c>
      <c r="AF88" s="32" t="str">
        <f ca="1">A85</f>
        <v>Portugal</v>
      </c>
      <c r="AG88" s="323">
        <f t="shared" si="266"/>
        <v>0</v>
      </c>
      <c r="AH88" s="195">
        <v>71</v>
      </c>
      <c r="AI88" s="181" t="str">
        <f t="shared" si="270"/>
        <v>3K</v>
      </c>
      <c r="AJ88" s="42">
        <v>3</v>
      </c>
      <c r="AK88" s="602" t="str" cm="1">
        <f t="array" aca="1" ref="AK88" ca="1">Ver_flag_visit</f>
        <v>🇺🇿</v>
      </c>
      <c r="AL88" s="37" t="str">
        <f ca="1">IFERROR(INDEX($BD$6:$BD$53,MATCH(AI88,$BN$6:$BN$53,0)),"")</f>
        <v>Uzbekistán</v>
      </c>
      <c r="AM88" s="38">
        <f t="shared" ca="1" si="269"/>
        <v>0</v>
      </c>
      <c r="AN88" s="39">
        <f t="shared" ca="1" si="269"/>
        <v>0</v>
      </c>
      <c r="AO88" s="39">
        <f t="shared" ca="1" si="269"/>
        <v>0</v>
      </c>
      <c r="AP88" s="39">
        <f t="shared" ca="1" si="269"/>
        <v>0</v>
      </c>
      <c r="AQ88" s="39">
        <f t="shared" ca="1" si="269"/>
        <v>0</v>
      </c>
      <c r="AR88" s="39">
        <f t="shared" ca="1" si="269"/>
        <v>0</v>
      </c>
      <c r="AS88" s="39">
        <f t="shared" ca="1" si="269"/>
        <v>0</v>
      </c>
      <c r="AT88" s="43">
        <f t="shared" ca="1" si="269"/>
        <v>0</v>
      </c>
      <c r="AU88" s="330">
        <f ca="1">INDEX($DL$6:$DL$53,MATCH(AI88,$DP$6:$DP$53,0))</f>
        <v>1</v>
      </c>
      <c r="AV88" s="182" t="str">
        <f ca="1">INDEX($BD$6:$BD$53,MATCH(AI88,$BM$6:$BM$53,0))</f>
        <v>Uzbekistán</v>
      </c>
      <c r="AW88" s="210"/>
      <c r="AX88" s="171"/>
      <c r="AY88" s="201" t="str">
        <f ca="1">+A87</f>
        <v>Uzbekistán</v>
      </c>
      <c r="AZ88" s="202"/>
      <c r="BA88" s="176"/>
    </row>
    <row r="89" spans="1:118" ht="16" customHeight="1" thickBot="1" x14ac:dyDescent="0.25">
      <c r="A89" s="16"/>
      <c r="B89" s="16"/>
      <c r="C89" s="16"/>
      <c r="D89" s="16" t="str">
        <f t="shared" si="253"/>
        <v>Pendiente</v>
      </c>
      <c r="E89" s="16" t="str">
        <f t="shared" si="254"/>
        <v>-</v>
      </c>
      <c r="F89" s="16" t="str">
        <f t="shared" si="255"/>
        <v>-</v>
      </c>
      <c r="G89" s="16"/>
      <c r="H89" s="16" t="str">
        <f t="shared" si="256"/>
        <v>-</v>
      </c>
      <c r="I89" s="16" t="str">
        <f t="shared" si="257"/>
        <v>-</v>
      </c>
      <c r="J89" s="16"/>
      <c r="K89" s="16" t="str">
        <f t="shared" si="258"/>
        <v>-</v>
      </c>
      <c r="L89" s="16" t="str">
        <f t="shared" si="259"/>
        <v>-</v>
      </c>
      <c r="M89" s="16"/>
      <c r="N89" s="16" t="str">
        <f t="shared" si="260"/>
        <v>-</v>
      </c>
      <c r="O89" s="16" t="str">
        <f t="shared" si="261"/>
        <v>-</v>
      </c>
      <c r="P89" s="16"/>
      <c r="Q89" s="16" t="str">
        <f t="shared" si="262"/>
        <v>-</v>
      </c>
      <c r="R89" s="16" t="str">
        <f t="shared" si="263"/>
        <v>-</v>
      </c>
      <c r="S89" s="16"/>
      <c r="T89" s="16" t="str">
        <f t="shared" si="264"/>
        <v>-</v>
      </c>
      <c r="U89" s="16" t="str">
        <f t="shared" si="265"/>
        <v>-</v>
      </c>
      <c r="V89" s="17"/>
      <c r="W89" s="657"/>
      <c r="X89" s="28">
        <f ca="1">Horarios!C89</f>
        <v>46201.0625</v>
      </c>
      <c r="Y89" s="29">
        <f ca="1">Horarios!C89</f>
        <v>46201.0625</v>
      </c>
      <c r="Z89" s="30" t="str">
        <f>$Z$8</f>
        <v>J3</v>
      </c>
      <c r="AA89" s="31" t="str">
        <f ca="1">A86</f>
        <v>RD Congo</v>
      </c>
      <c r="AB89" s="52" t="str" cm="1">
        <f t="array" aca="1" ref="AB89" ca="1">Ver_flag_local</f>
        <v>🇨🇩</v>
      </c>
      <c r="AC89" s="53"/>
      <c r="AD89" s="54"/>
      <c r="AE89" s="596" t="str" cm="1">
        <f t="array" aca="1" ref="AE89" ca="1">Ver_flag_visit</f>
        <v>🇺🇿</v>
      </c>
      <c r="AF89" s="33" t="str">
        <f ca="1">A87</f>
        <v>Uzbekistán</v>
      </c>
      <c r="AG89" s="323">
        <f t="shared" si="266"/>
        <v>0</v>
      </c>
      <c r="AH89" s="195">
        <v>72</v>
      </c>
      <c r="AI89" s="181" t="str">
        <f t="shared" si="270"/>
        <v>4K</v>
      </c>
      <c r="AJ89" s="44">
        <v>4</v>
      </c>
      <c r="AK89" s="604" t="str" cm="1">
        <f t="array" aca="1" ref="AK89" ca="1">Ver_flag_visit</f>
        <v>🇨🇴</v>
      </c>
      <c r="AL89" s="45" t="str">
        <f ca="1">IFERROR(INDEX($BD$6:$BD$53,MATCH(AI89,$BN$6:$BN$53,0)),"")</f>
        <v>Colombia</v>
      </c>
      <c r="AM89" s="46">
        <f t="shared" ca="1" si="269"/>
        <v>0</v>
      </c>
      <c r="AN89" s="47">
        <f t="shared" ca="1" si="269"/>
        <v>0</v>
      </c>
      <c r="AO89" s="47">
        <f t="shared" ca="1" si="269"/>
        <v>0</v>
      </c>
      <c r="AP89" s="47">
        <f t="shared" ca="1" si="269"/>
        <v>0</v>
      </c>
      <c r="AQ89" s="47">
        <f t="shared" ca="1" si="269"/>
        <v>0</v>
      </c>
      <c r="AR89" s="47">
        <f t="shared" ca="1" si="269"/>
        <v>0</v>
      </c>
      <c r="AS89" s="47">
        <f t="shared" ca="1" si="269"/>
        <v>0</v>
      </c>
      <c r="AT89" s="48">
        <f t="shared" ca="1" si="269"/>
        <v>0</v>
      </c>
      <c r="AU89" s="330">
        <f ca="1">INDEX($DL$6:$DL$53,MATCH(AI89,$DP$6:$DP$53,0))</f>
        <v>1</v>
      </c>
      <c r="AV89" s="182" t="str">
        <f ca="1">INDEX($BD$6:$BD$53,MATCH(AI89,$BM$6:$BM$53,0))</f>
        <v>Colombia</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Pendiente</v>
      </c>
      <c r="E92" s="16" t="str">
        <f t="shared" ref="E92:E97" si="272">IF(D92="Pendiente","-",INDEX($BT$6:$BT$53,MATCH($AA92,$BD$6:$BD$53,0)))</f>
        <v>-</v>
      </c>
      <c r="F92" s="16" t="str">
        <f t="shared" ref="F92:F97" si="273">IF(D92="Pendiente","-",INDEX($BT$6:$BT$53,MATCH($AF92,$BD$6:$BD$53,0)))</f>
        <v>-</v>
      </c>
      <c r="G92" s="16"/>
      <c r="H92" s="16" t="str">
        <f t="shared" ref="H92:H97" si="274">IF(D92="Pendiente","-",INDEX($BZ$6:$BZ$53,MATCH($AA92,$BD$6:$BD$53,0)))</f>
        <v>-</v>
      </c>
      <c r="I92" s="16" t="str">
        <f t="shared" ref="I92:I97" si="275">IF(D92="Pendiente","-",INDEX($BZ$6:$BZ$53,MATCH($AF92,$BD$6:$BD$53,0)))</f>
        <v>-</v>
      </c>
      <c r="J92" s="16"/>
      <c r="K92" s="16" t="str">
        <f t="shared" ref="K92:K97" si="276">IF(D92="Pendiente","-",INDEX($CE$6:$CE$53,MATCH($AA92,$BD$6:$BD$53,0)))</f>
        <v>-</v>
      </c>
      <c r="L92" s="16" t="str">
        <f t="shared" ref="L92:L97" si="277">IF(D92="Pendiente","-",INDEX($CE$6:$CE$53,MATCH($AF92,$BD$6:$BD$53,0)))</f>
        <v>-</v>
      </c>
      <c r="M92" s="16"/>
      <c r="N92" s="16" t="str">
        <f t="shared" ref="N92:N97" si="278">IF(D92="Pendiente","-",INDEX($CH$6:$CH$53,MATCH($AA92,$BD$6:$BD$53,0)))</f>
        <v>-</v>
      </c>
      <c r="O92" s="16" t="str">
        <f t="shared" ref="O92:O97" si="279">IF(D92="Pendiente","-",INDEX($CH$6:$CH$53,MATCH($AF92,$BD$6:$BD$53,0)))</f>
        <v>-</v>
      </c>
      <c r="P92" s="16"/>
      <c r="Q92" s="16" t="str">
        <f t="shared" ref="Q92:Q97" si="280">IF(D92="Pendiente","-",INDEX($CN$6:$CN$53,MATCH($AA92,$BD$6:$BD$53,0)))</f>
        <v>-</v>
      </c>
      <c r="R92" s="16" t="str">
        <f t="shared" ref="R92:R97" si="281">IF(D92="Pendiente","-",INDEX($CN$6:$CN$53,MATCH($AF92,$BD$6:$BD$53,0)))</f>
        <v>-</v>
      </c>
      <c r="S92" s="16"/>
      <c r="T92" s="16" t="str">
        <f t="shared" ref="T92:T97" si="282">IF(D92="Pendiente","-",INDEX($CS$6:$CS$53,MATCH($AA92,$BD$6:$BD$53,0)))</f>
        <v>-</v>
      </c>
      <c r="U92" s="16" t="str">
        <f t="shared" ref="U92:U97"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v>
      </c>
      <c r="AC92" s="50"/>
      <c r="AD92" s="51"/>
      <c r="AE92" s="595" t="str" cm="1">
        <f t="array" aca="1" ref="AE92" ca="1">Ver_flag_visit</f>
        <v>🇭🇷</v>
      </c>
      <c r="AF92" s="32" t="str">
        <f ca="1">A94</f>
        <v>Croacia</v>
      </c>
      <c r="AG92" s="323">
        <f t="shared" ref="AG92:AG97" si="284">IF(NOT(OR(ISBLANK(AC92),ISBLANK(AD92))),1,0)</f>
        <v>0</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Inglaterra</v>
      </c>
      <c r="B93" s="16"/>
      <c r="C93" s="16"/>
      <c r="D93" s="16" t="str">
        <f t="shared" si="271"/>
        <v>Pendiente</v>
      </c>
      <c r="E93" s="16" t="str">
        <f t="shared" si="272"/>
        <v>-</v>
      </c>
      <c r="F93" s="16" t="str">
        <f t="shared" si="273"/>
        <v>-</v>
      </c>
      <c r="G93" s="16"/>
      <c r="H93" s="16" t="str">
        <f t="shared" si="274"/>
        <v>-</v>
      </c>
      <c r="I93" s="16" t="str">
        <f t="shared" si="275"/>
        <v>-</v>
      </c>
      <c r="J93" s="16"/>
      <c r="K93" s="16" t="str">
        <f t="shared" si="276"/>
        <v>-</v>
      </c>
      <c r="L93" s="16" t="str">
        <f t="shared" si="277"/>
        <v>-</v>
      </c>
      <c r="M93" s="16"/>
      <c r="N93" s="16" t="str">
        <f t="shared" si="278"/>
        <v>-</v>
      </c>
      <c r="O93" s="16" t="str">
        <f t="shared" si="279"/>
        <v>-</v>
      </c>
      <c r="P93" s="16"/>
      <c r="Q93" s="16" t="str">
        <f t="shared" si="280"/>
        <v>-</v>
      </c>
      <c r="R93" s="16" t="str">
        <f t="shared" si="281"/>
        <v>-</v>
      </c>
      <c r="S93" s="16"/>
      <c r="T93" s="16" t="str">
        <f t="shared" si="282"/>
        <v>-</v>
      </c>
      <c r="U93" s="16" t="str">
        <f t="shared" si="283"/>
        <v>-</v>
      </c>
      <c r="V93" s="17"/>
      <c r="W93" s="652"/>
      <c r="X93" s="24">
        <f ca="1">Horarios!C93</f>
        <v>46191.041666666664</v>
      </c>
      <c r="Y93" s="25">
        <f ca="1">Horarios!C93</f>
        <v>46191.041666666664</v>
      </c>
      <c r="Z93" s="26" t="str">
        <f>$Z$4</f>
        <v>J1</v>
      </c>
      <c r="AA93" s="27" t="str">
        <f ca="1">A95</f>
        <v>Ghana</v>
      </c>
      <c r="AB93" s="49" t="str" cm="1">
        <f t="array" aca="1" ref="AB93" ca="1">Ver_flag_local</f>
        <v>🇬🇭</v>
      </c>
      <c r="AC93" s="50"/>
      <c r="AD93" s="51"/>
      <c r="AE93" s="595" t="str" cm="1">
        <f t="array" aca="1" ref="AE93" ca="1">Ver_flag_visit</f>
        <v>🇵🇦</v>
      </c>
      <c r="AF93" s="32" t="str">
        <f ca="1">A96</f>
        <v>Panamá</v>
      </c>
      <c r="AG93" s="323">
        <f t="shared" si="284"/>
        <v>0</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71"/>
        <v>Pendiente</v>
      </c>
      <c r="E94" s="16" t="str">
        <f t="shared" si="272"/>
        <v>-</v>
      </c>
      <c r="F94" s="16" t="str">
        <f t="shared" si="273"/>
        <v>-</v>
      </c>
      <c r="G94" s="16"/>
      <c r="H94" s="16" t="str">
        <f t="shared" si="274"/>
        <v>-</v>
      </c>
      <c r="I94" s="16" t="str">
        <f t="shared" si="275"/>
        <v>-</v>
      </c>
      <c r="J94" s="16"/>
      <c r="K94" s="16" t="str">
        <f t="shared" si="276"/>
        <v>-</v>
      </c>
      <c r="L94" s="16" t="str">
        <f t="shared" si="277"/>
        <v>-</v>
      </c>
      <c r="M94" s="16"/>
      <c r="N94" s="16" t="str">
        <f t="shared" si="278"/>
        <v>-</v>
      </c>
      <c r="O94" s="16" t="str">
        <f t="shared" si="279"/>
        <v>-</v>
      </c>
      <c r="P94" s="16"/>
      <c r="Q94" s="16" t="str">
        <f t="shared" si="280"/>
        <v>-</v>
      </c>
      <c r="R94" s="16" t="str">
        <f t="shared" si="281"/>
        <v>-</v>
      </c>
      <c r="S94" s="16"/>
      <c r="T94" s="16" t="str">
        <f t="shared" si="282"/>
        <v>-</v>
      </c>
      <c r="U94" s="16" t="str">
        <f t="shared" si="283"/>
        <v>-</v>
      </c>
      <c r="V94" s="17"/>
      <c r="W94" s="652"/>
      <c r="X94" s="24">
        <f ca="1">Horarios!C94</f>
        <v>46196.916666666664</v>
      </c>
      <c r="Y94" s="25">
        <f ca="1">Horarios!C94</f>
        <v>46196.916666666664</v>
      </c>
      <c r="Z94" s="26" t="str">
        <f>$Z$6</f>
        <v>J2</v>
      </c>
      <c r="AA94" s="27" t="str">
        <f ca="1">A93</f>
        <v>Inglaterra</v>
      </c>
      <c r="AB94" s="49" t="str" cm="1">
        <f t="array" aca="1" ref="AB94" ca="1">Ver_flag_local</f>
        <v>🏴󠁧󠁢󠁥󠁮󠁧󠁿</v>
      </c>
      <c r="AC94" s="50"/>
      <c r="AD94" s="51"/>
      <c r="AE94" s="595" t="str" cm="1">
        <f t="array" aca="1" ref="AE94" ca="1">Ver_flag_visit</f>
        <v>🇬🇭</v>
      </c>
      <c r="AF94" s="32" t="str">
        <f ca="1">A95</f>
        <v>Ghana</v>
      </c>
      <c r="AG94" s="323">
        <f t="shared" si="284"/>
        <v>0</v>
      </c>
      <c r="AH94" s="195">
        <v>45</v>
      </c>
      <c r="AI94" s="181" t="str">
        <f>AJ94&amp;$B$92</f>
        <v>1L</v>
      </c>
      <c r="AJ94" s="40">
        <v>1</v>
      </c>
      <c r="AK94" s="601" t="str" cm="1">
        <f t="array" aca="1" ref="AK94" ca="1">Ver_flag_visit</f>
        <v>🏴󠁧󠁢󠁥󠁮󠁧󠁿</v>
      </c>
      <c r="AL94" s="34" t="str">
        <f ca="1">IFERROR(INDEX($BD$6:$BD$53,MATCH(AI94,$BN$6:$BN$53,0)),"")</f>
        <v>Inglaterra</v>
      </c>
      <c r="AM94" s="35">
        <f t="shared" ref="AM94:AT97" ca="1" si="287">INDEX($BE$6:$BN$53,MATCH($AL94,$BD$6:$BD$53,0),MATCH(AM$5,$BE$5:$BN$5,0))</f>
        <v>0</v>
      </c>
      <c r="AN94" s="36">
        <f t="shared" ca="1" si="287"/>
        <v>0</v>
      </c>
      <c r="AO94" s="36">
        <f t="shared" ca="1" si="287"/>
        <v>0</v>
      </c>
      <c r="AP94" s="36">
        <f t="shared" ca="1" si="287"/>
        <v>0</v>
      </c>
      <c r="AQ94" s="36">
        <f t="shared" ca="1" si="287"/>
        <v>0</v>
      </c>
      <c r="AR94" s="36">
        <f t="shared" ca="1" si="287"/>
        <v>0</v>
      </c>
      <c r="AS94" s="36">
        <f t="shared" ca="1" si="287"/>
        <v>0</v>
      </c>
      <c r="AT94" s="41">
        <f t="shared" ca="1" si="287"/>
        <v>0</v>
      </c>
      <c r="AU94" s="330">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71"/>
        <v>Pendiente</v>
      </c>
      <c r="E95" s="16" t="str">
        <f t="shared" si="272"/>
        <v>-</v>
      </c>
      <c r="F95" s="16" t="str">
        <f t="shared" si="273"/>
        <v>-</v>
      </c>
      <c r="G95" s="16"/>
      <c r="H95" s="16" t="str">
        <f t="shared" si="274"/>
        <v>-</v>
      </c>
      <c r="I95" s="16" t="str">
        <f t="shared" si="275"/>
        <v>-</v>
      </c>
      <c r="J95" s="16"/>
      <c r="K95" s="16" t="str">
        <f t="shared" si="276"/>
        <v>-</v>
      </c>
      <c r="L95" s="16" t="str">
        <f t="shared" si="277"/>
        <v>-</v>
      </c>
      <c r="M95" s="16"/>
      <c r="N95" s="16" t="str">
        <f t="shared" si="278"/>
        <v>-</v>
      </c>
      <c r="O95" s="16" t="str">
        <f t="shared" si="279"/>
        <v>-</v>
      </c>
      <c r="P95" s="16"/>
      <c r="Q95" s="16" t="str">
        <f t="shared" si="280"/>
        <v>-</v>
      </c>
      <c r="R95" s="16" t="str">
        <f t="shared" si="281"/>
        <v>-</v>
      </c>
      <c r="S95" s="16"/>
      <c r="T95" s="16" t="str">
        <f t="shared" si="282"/>
        <v>-</v>
      </c>
      <c r="U95" s="16" t="str">
        <f t="shared" si="283"/>
        <v>-</v>
      </c>
      <c r="V95" s="17"/>
      <c r="W95" s="652"/>
      <c r="X95" s="24">
        <f ca="1">Horarios!C95</f>
        <v>46197.041666666664</v>
      </c>
      <c r="Y95" s="25">
        <f ca="1">Horarios!C95</f>
        <v>46197.041666666664</v>
      </c>
      <c r="Z95" s="26" t="str">
        <f>$Z$6</f>
        <v>J2</v>
      </c>
      <c r="AA95" s="27" t="str">
        <f ca="1">A96</f>
        <v>Panamá</v>
      </c>
      <c r="AB95" s="49" t="str" cm="1">
        <f t="array" aca="1" ref="AB95" ca="1">Ver_flag_local</f>
        <v>🇵🇦</v>
      </c>
      <c r="AC95" s="50"/>
      <c r="AD95" s="51"/>
      <c r="AE95" s="595" t="str" cm="1">
        <f t="array" aca="1" ref="AE95" ca="1">Ver_flag_visit</f>
        <v>🇭🇷</v>
      </c>
      <c r="AF95" s="32" t="str">
        <f ca="1">A94</f>
        <v>Croacia</v>
      </c>
      <c r="AG95" s="323">
        <f t="shared" si="284"/>
        <v>0</v>
      </c>
      <c r="AH95" s="195">
        <v>46</v>
      </c>
      <c r="AI95" s="181" t="str">
        <f t="shared" ref="AI95:AI97" si="288">AJ95&amp;$B$92</f>
        <v>2L</v>
      </c>
      <c r="AJ95" s="42">
        <v>2</v>
      </c>
      <c r="AK95" s="602" t="str" cm="1">
        <f t="array" aca="1" ref="AK95" ca="1">Ver_flag_visit</f>
        <v>🇭🇷</v>
      </c>
      <c r="AL95" s="37" t="str">
        <f ca="1">IFERROR(INDEX($BD$6:$BD$53,MATCH(AI95,$BN$6:$BN$53,0)),"")</f>
        <v>Croacia</v>
      </c>
      <c r="AM95" s="38">
        <f t="shared" ca="1" si="287"/>
        <v>0</v>
      </c>
      <c r="AN95" s="39">
        <f t="shared" ca="1" si="287"/>
        <v>0</v>
      </c>
      <c r="AO95" s="39">
        <f t="shared" ca="1" si="287"/>
        <v>0</v>
      </c>
      <c r="AP95" s="39">
        <f t="shared" ca="1" si="287"/>
        <v>0</v>
      </c>
      <c r="AQ95" s="39">
        <f t="shared" ca="1" si="287"/>
        <v>0</v>
      </c>
      <c r="AR95" s="39">
        <f t="shared" ca="1" si="287"/>
        <v>0</v>
      </c>
      <c r="AS95" s="39">
        <f t="shared" ca="1" si="287"/>
        <v>0</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71"/>
        <v>Pendiente</v>
      </c>
      <c r="E96" s="16" t="str">
        <f t="shared" si="272"/>
        <v>-</v>
      </c>
      <c r="F96" s="16" t="str">
        <f t="shared" si="273"/>
        <v>-</v>
      </c>
      <c r="G96" s="16"/>
      <c r="H96" s="16" t="str">
        <f t="shared" si="274"/>
        <v>-</v>
      </c>
      <c r="I96" s="16" t="str">
        <f t="shared" si="275"/>
        <v>-</v>
      </c>
      <c r="J96" s="16"/>
      <c r="K96" s="16" t="str">
        <f t="shared" si="276"/>
        <v>-</v>
      </c>
      <c r="L96" s="16" t="str">
        <f t="shared" si="277"/>
        <v>-</v>
      </c>
      <c r="M96" s="16"/>
      <c r="N96" s="16" t="str">
        <f t="shared" si="278"/>
        <v>-</v>
      </c>
      <c r="O96" s="16" t="str">
        <f t="shared" si="279"/>
        <v>-</v>
      </c>
      <c r="P96" s="16"/>
      <c r="Q96" s="16" t="str">
        <f t="shared" si="280"/>
        <v>-</v>
      </c>
      <c r="R96" s="16" t="str">
        <f t="shared" si="281"/>
        <v>-</v>
      </c>
      <c r="S96" s="16"/>
      <c r="T96" s="16" t="str">
        <f t="shared" si="282"/>
        <v>-</v>
      </c>
      <c r="U96" s="16" t="str">
        <f t="shared" si="283"/>
        <v>-</v>
      </c>
      <c r="V96" s="17"/>
      <c r="W96" s="652"/>
      <c r="X96" s="24">
        <f ca="1">Horarios!C96</f>
        <v>46200.958333333336</v>
      </c>
      <c r="Y96" s="25">
        <f ca="1">Horarios!C96</f>
        <v>46200.958333333336</v>
      </c>
      <c r="Z96" s="26" t="str">
        <f>$Z$8</f>
        <v>J3</v>
      </c>
      <c r="AA96" s="27" t="str">
        <f ca="1">A96</f>
        <v>Panamá</v>
      </c>
      <c r="AB96" s="49" t="str" cm="1">
        <f t="array" aca="1" ref="AB96" ca="1">Ver_flag_local</f>
        <v>🇵🇦</v>
      </c>
      <c r="AC96" s="50"/>
      <c r="AD96" s="51"/>
      <c r="AE96" s="595" t="str" cm="1">
        <f t="array" aca="1" ref="AE96" ca="1">Ver_flag_visit</f>
        <v>🏴󠁧󠁢󠁥󠁮󠁧󠁿</v>
      </c>
      <c r="AF96" s="32" t="str">
        <f ca="1">A93</f>
        <v>Inglaterra</v>
      </c>
      <c r="AG96" s="323">
        <f t="shared" si="284"/>
        <v>0</v>
      </c>
      <c r="AH96" s="195">
        <v>67</v>
      </c>
      <c r="AI96" s="181" t="str">
        <f t="shared" si="288"/>
        <v>3L</v>
      </c>
      <c r="AJ96" s="42">
        <v>3</v>
      </c>
      <c r="AK96" s="602" t="str" cm="1">
        <f t="array" aca="1" ref="AK96" ca="1">Ver_flag_visit</f>
        <v>🇬🇭</v>
      </c>
      <c r="AL96" s="37" t="str">
        <f ca="1">IFERROR(INDEX($BD$6:$BD$53,MATCH(AI96,$BN$6:$BN$53,0)),"")</f>
        <v>Ghana</v>
      </c>
      <c r="AM96" s="38">
        <f t="shared" ca="1" si="287"/>
        <v>0</v>
      </c>
      <c r="AN96" s="39">
        <f t="shared" ca="1" si="287"/>
        <v>0</v>
      </c>
      <c r="AO96" s="39">
        <f t="shared" ca="1" si="287"/>
        <v>0</v>
      </c>
      <c r="AP96" s="39">
        <f t="shared" ca="1" si="287"/>
        <v>0</v>
      </c>
      <c r="AQ96" s="39">
        <f t="shared" ca="1" si="287"/>
        <v>0</v>
      </c>
      <c r="AR96" s="39">
        <f t="shared" ca="1" si="287"/>
        <v>0</v>
      </c>
      <c r="AS96" s="39">
        <f t="shared" ca="1" si="287"/>
        <v>0</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Pendiente</v>
      </c>
      <c r="E97" s="16" t="str">
        <f t="shared" si="272"/>
        <v>-</v>
      </c>
      <c r="F97" s="16" t="str">
        <f t="shared" si="273"/>
        <v>-</v>
      </c>
      <c r="G97" s="16"/>
      <c r="H97" s="16" t="str">
        <f t="shared" si="274"/>
        <v>-</v>
      </c>
      <c r="I97" s="16" t="str">
        <f t="shared" si="275"/>
        <v>-</v>
      </c>
      <c r="J97" s="16"/>
      <c r="K97" s="16" t="str">
        <f t="shared" si="276"/>
        <v>-</v>
      </c>
      <c r="L97" s="16" t="str">
        <f t="shared" si="277"/>
        <v>-</v>
      </c>
      <c r="M97" s="16"/>
      <c r="N97" s="16" t="str">
        <f t="shared" si="278"/>
        <v>-</v>
      </c>
      <c r="O97" s="16" t="str">
        <f t="shared" si="279"/>
        <v>-</v>
      </c>
      <c r="P97" s="16"/>
      <c r="Q97" s="16" t="str">
        <f t="shared" si="280"/>
        <v>-</v>
      </c>
      <c r="R97" s="16" t="str">
        <f t="shared" si="281"/>
        <v>-</v>
      </c>
      <c r="S97" s="16"/>
      <c r="T97" s="16" t="str">
        <f t="shared" si="282"/>
        <v>-</v>
      </c>
      <c r="U97" s="16" t="str">
        <f t="shared" si="283"/>
        <v>-</v>
      </c>
      <c r="V97" s="17"/>
      <c r="W97" s="653"/>
      <c r="X97" s="28">
        <f ca="1">Horarios!C97</f>
        <v>46200.958333333336</v>
      </c>
      <c r="Y97" s="29">
        <f ca="1">Horarios!C97</f>
        <v>46200.958333333336</v>
      </c>
      <c r="Z97" s="30" t="str">
        <f>$Z$8</f>
        <v>J3</v>
      </c>
      <c r="AA97" s="31" t="str">
        <f ca="1">A94</f>
        <v>Croacia</v>
      </c>
      <c r="AB97" s="52" t="str" cm="1">
        <f t="array" aca="1" ref="AB97" ca="1">Ver_flag_local</f>
        <v>🇭🇷</v>
      </c>
      <c r="AC97" s="53"/>
      <c r="AD97" s="54"/>
      <c r="AE97" s="596" t="str" cm="1">
        <f t="array" aca="1" ref="AE97" ca="1">Ver_flag_visit</f>
        <v>🇬🇭</v>
      </c>
      <c r="AF97" s="33" t="str">
        <f ca="1">A95</f>
        <v>Ghana</v>
      </c>
      <c r="AG97" s="323">
        <f t="shared" si="284"/>
        <v>0</v>
      </c>
      <c r="AH97" s="195">
        <v>68</v>
      </c>
      <c r="AI97" s="181" t="str">
        <f t="shared" si="288"/>
        <v>4L</v>
      </c>
      <c r="AJ97" s="44">
        <v>4</v>
      </c>
      <c r="AK97" s="604" t="str" cm="1">
        <f t="array" aca="1" ref="AK97" ca="1">Ver_flag_visit</f>
        <v>🇵🇦</v>
      </c>
      <c r="AL97" s="45" t="str">
        <f ca="1">IFERROR(INDEX($BD$6:$BD$53,MATCH(AI97,$BN$6:$BN$53,0)),"")</f>
        <v>Panamá</v>
      </c>
      <c r="AM97" s="46">
        <f t="shared" ca="1" si="287"/>
        <v>0</v>
      </c>
      <c r="AN97" s="47">
        <f t="shared" ca="1" si="287"/>
        <v>0</v>
      </c>
      <c r="AO97" s="47">
        <f t="shared" ca="1" si="287"/>
        <v>0</v>
      </c>
      <c r="AP97" s="47">
        <f t="shared" ca="1" si="287"/>
        <v>0</v>
      </c>
      <c r="AQ97" s="47">
        <f t="shared" ca="1" si="287"/>
        <v>0</v>
      </c>
      <c r="AR97" s="47">
        <f t="shared" ca="1" si="287"/>
        <v>0</v>
      </c>
      <c r="AS97" s="47">
        <f t="shared" ca="1" si="287"/>
        <v>0</v>
      </c>
      <c r="AT97" s="48">
        <f t="shared" ca="1" si="287"/>
        <v>0</v>
      </c>
      <c r="AU97" s="330">
        <f ca="1">INDEX($DL$6:$DL$53,MATCH(AI97,$DP$6:$DP$53,0))</f>
        <v>1</v>
      </c>
      <c r="AV97" s="182" t="str">
        <f ca="1">INDEX($BD$6:$BD$53,MATCH(AI97,$BM$6:$BM$53,0))</f>
        <v>Panamá</v>
      </c>
      <c r="AW97" s="210"/>
      <c r="AX97" s="171"/>
      <c r="AY97" s="205" t="str">
        <f ca="1">+A96</f>
        <v>Panamá</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1300</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La clasificación de los mejores terceros aparece al final de la J1</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9" t="str">
        <f>X3</f>
        <v>Fecha</v>
      </c>
      <c r="Y100" s="69" t="str">
        <f>Y3</f>
        <v>Hora</v>
      </c>
      <c r="Z100" s="69" t="s">
        <v>729</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6" customHeight="1" thickBot="1" x14ac:dyDescent="0.25">
      <c r="A101" s="16" t="s">
        <v>658</v>
      </c>
      <c r="B101" s="16" t="s">
        <v>661</v>
      </c>
      <c r="C101" s="16"/>
      <c r="D101" s="16" t="str">
        <f t="shared" ref="D101:D116" si="289">IF(AND(OR(AC101="",AD101="")),"W"&amp;AH101,IF(AC101&gt;AD101,AA101,IF(AC101&lt;AD101,AF101,IF(AND(AC101=AD101,AB101=AE101),"W"&amp;AH101,IF(AND(AC101=AD101,OR(AB101="",AE101="")),"W"&amp;AH101,IF(AND(AC101=AD101,AB101&gt;AE101),AA101,AF101))))))</f>
        <v>W73</v>
      </c>
      <c r="E101" s="16" t="s">
        <v>0</v>
      </c>
      <c r="F101" s="16" t="s">
        <v>1</v>
      </c>
      <c r="G101" s="16" t="s">
        <v>0</v>
      </c>
      <c r="H101" s="16">
        <f t="shared" ref="H101:H112" ca="1" si="290">+SUMIF($BC$6:$BC$53,G101,$BF$6:$BF$53)</f>
        <v>0</v>
      </c>
      <c r="I101" s="16"/>
      <c r="J101" s="16">
        <v>73</v>
      </c>
      <c r="K101" s="16">
        <v>46201.75</v>
      </c>
      <c r="L101" s="16" t="s">
        <v>697</v>
      </c>
      <c r="M101" s="16" t="str">
        <f t="shared" ref="M101:M116" ca="1" si="291">+IF(OR(INDEX($H$101:$H$113,MATCH(E101,$G$101:$G$113,0))=12,$AJ$99=144),INDEX($AL$6:$AL$97,MATCH(A101,$AI$6:$AI$97,0)),A101)</f>
        <v>2A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2B</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2A</v>
      </c>
      <c r="AB101" s="89"/>
      <c r="AC101" s="51"/>
      <c r="AD101" s="51"/>
      <c r="AE101" s="90"/>
      <c r="AF101" s="91" t="str">
        <f t="shared" ref="AF101:AF116" ca="1" si="293">+INDEX($N$101:$N$147,MATCH(AH101,$J$101:$J$147,0))</f>
        <v>2B</v>
      </c>
      <c r="AG101" s="327">
        <f t="shared" ref="AG101:AG116" si="294">IF(D101="W"&amp;AH101,0,1)</f>
        <v>0</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c>
      <c r="AZ101" s="336" t="str">
        <f ca="1">+IF(OR($H$113&gt;=48,$AJ$99=144),BI112,"")</f>
        <v/>
      </c>
      <c r="BA101" s="176"/>
    </row>
    <row r="102" spans="1:62" ht="16" customHeight="1" x14ac:dyDescent="0.2">
      <c r="A102" s="16" t="s">
        <v>673</v>
      </c>
      <c r="B102" s="16" t="s">
        <v>734</v>
      </c>
      <c r="C102" s="16"/>
      <c r="D102" s="16" t="str">
        <f t="shared" si="289"/>
        <v>W76</v>
      </c>
      <c r="E102" s="16" t="s">
        <v>3</v>
      </c>
      <c r="F102" s="16" t="s">
        <v>733</v>
      </c>
      <c r="G102" s="16" t="s">
        <v>1</v>
      </c>
      <c r="H102" s="16">
        <f t="shared" ca="1" si="290"/>
        <v>0</v>
      </c>
      <c r="I102" s="16"/>
      <c r="J102" s="16">
        <v>74</v>
      </c>
      <c r="K102" s="16">
        <v>46202.75</v>
      </c>
      <c r="L102" s="16" t="s">
        <v>698</v>
      </c>
      <c r="M102" s="16" t="str">
        <f t="shared" ca="1" si="291"/>
        <v>1E</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3ABCDF</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1C</v>
      </c>
      <c r="AB102" s="89"/>
      <c r="AC102" s="92"/>
      <c r="AD102" s="92"/>
      <c r="AE102" s="89"/>
      <c r="AF102" s="91" t="str">
        <f t="shared" ca="1" si="293"/>
        <v>2F</v>
      </c>
      <c r="AG102" s="327">
        <f t="shared" si="294"/>
        <v>0</v>
      </c>
      <c r="AH102" s="195">
        <v>76</v>
      </c>
      <c r="AI102" s="182">
        <v>1</v>
      </c>
      <c r="AJ102" s="80">
        <v>1</v>
      </c>
      <c r="AK102" s="605" t="str" cm="1">
        <f t="array" aca="1" ref="AK102" ca="1">Ver_flag_visit</f>
        <v/>
      </c>
      <c r="AL102" s="81" t="str">
        <f t="shared" ref="AL102:AL113" ca="1" si="297">+IF($H$113&gt;=48,INDEX($BD$58:$BD$69,MATCH(AI102,$BN$58:$BN$69,0)),BB58)</f>
        <v>3A</v>
      </c>
      <c r="AM102" s="588" t="str">
        <f ca="1">+IF($H$113&gt;=48,INDEX($BE$58:$BN$69,MATCH($AL102,$BD$58:$BD$69,0),MATCH(AM$5,$BE$57:$BN$57,0)),$BB58)</f>
        <v>3A</v>
      </c>
      <c r="AN102" s="82" t="str">
        <f ca="1">+IF($H$113&gt;=48,INDEX($BE$58:$BN$69,MATCH($AL102,$BD$58:$BD$69,0),MATCH(AN$5,$BE$57:$BN$57,0)),$BB58)</f>
        <v>3A</v>
      </c>
      <c r="AO102" s="82" t="str">
        <f t="shared" ref="AO102:AT102" ca="1" si="298">+IF($H$113&gt;=48,INDEX($BE$58:$BN$69,MATCH($AL102,$BD$58:$BD$69,0),MATCH(AO$5,$BE$57:$BN$57,0)),$BB58)</f>
        <v>3A</v>
      </c>
      <c r="AP102" s="82" t="str">
        <f t="shared" ca="1" si="298"/>
        <v>3A</v>
      </c>
      <c r="AQ102" s="83" t="str">
        <f t="shared" ca="1" si="298"/>
        <v>3A</v>
      </c>
      <c r="AR102" s="83" t="str">
        <f t="shared" ca="1" si="298"/>
        <v>3A</v>
      </c>
      <c r="AS102" s="83" t="str">
        <f t="shared" ca="1" si="298"/>
        <v>3A</v>
      </c>
      <c r="AT102" s="84" t="str">
        <f t="shared" ca="1" si="298"/>
        <v>3A</v>
      </c>
      <c r="AU102" s="330" t="str">
        <f t="shared" ref="AU102:AU113" ca="1" si="299">IF($H$113=144,INDEX($DL$58:$DL$69,MATCH(AI102,$DP$58:$DP$69,0)),"")</f>
        <v/>
      </c>
      <c r="AV102" s="182" t="str">
        <f t="shared" ref="AV102:AV113" ca="1" si="300">INDEX($BD$58:$BD$69,MATCH(AI102,$BM$58:$BM$69,0))</f>
        <v>Arabia Saudita</v>
      </c>
      <c r="AW102" s="215"/>
      <c r="AX102" s="170"/>
      <c r="AY102" s="154"/>
      <c r="AZ102" s="155"/>
      <c r="BA102" s="176"/>
      <c r="BE102" t="s">
        <v>454</v>
      </c>
      <c r="BF102" t="s">
        <v>731</v>
      </c>
      <c r="BG102" t="s">
        <v>776</v>
      </c>
      <c r="BI102" t="s">
        <v>86</v>
      </c>
    </row>
    <row r="103" spans="1:62" ht="16" customHeight="1" x14ac:dyDescent="0.2">
      <c r="A103" s="16" t="s">
        <v>676</v>
      </c>
      <c r="B103" s="16" t="s">
        <v>668</v>
      </c>
      <c r="C103" s="16"/>
      <c r="D103" s="16" t="str">
        <f t="shared" si="289"/>
        <v>W74</v>
      </c>
      <c r="E103" s="16" t="s">
        <v>4</v>
      </c>
      <c r="F103" s="16" t="s">
        <v>2</v>
      </c>
      <c r="G103" s="16" t="s">
        <v>2</v>
      </c>
      <c r="H103" s="16">
        <f t="shared" ca="1" si="290"/>
        <v>0</v>
      </c>
      <c r="I103" s="16"/>
      <c r="J103" s="16">
        <v>75</v>
      </c>
      <c r="K103" s="16">
        <v>46202.75</v>
      </c>
      <c r="L103" s="16" t="s">
        <v>699</v>
      </c>
      <c r="M103" s="16" t="str">
        <f t="shared" ca="1" si="291"/>
        <v>1F</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2C</v>
      </c>
      <c r="O103" s="16"/>
      <c r="P103" s="16"/>
      <c r="Q103" s="16"/>
      <c r="R103" s="16"/>
      <c r="S103" s="16"/>
      <c r="T103" s="16"/>
      <c r="U103" s="16"/>
      <c r="V103" s="17"/>
      <c r="W103" s="658"/>
      <c r="X103" s="24">
        <f ca="1">Horarios!C103</f>
        <v>46202.9375</v>
      </c>
      <c r="Y103" s="25">
        <f ca="1">Horarios!C103</f>
        <v>46202.9375</v>
      </c>
      <c r="Z103" s="280">
        <f t="shared" si="296"/>
        <v>74</v>
      </c>
      <c r="AA103" s="88" t="str">
        <f t="shared" ca="1" si="292"/>
        <v>1E</v>
      </c>
      <c r="AB103" s="89"/>
      <c r="AC103" s="92"/>
      <c r="AD103" s="92"/>
      <c r="AE103" s="89"/>
      <c r="AF103" s="91" t="str">
        <f t="shared" ca="1" si="293"/>
        <v>3ABCDF</v>
      </c>
      <c r="AG103" s="327">
        <f t="shared" si="294"/>
        <v>0</v>
      </c>
      <c r="AH103" s="195">
        <v>74</v>
      </c>
      <c r="AI103" s="182">
        <v>2</v>
      </c>
      <c r="AJ103" s="42">
        <v>2</v>
      </c>
      <c r="AK103" s="602" t="str" cm="1">
        <f t="array" aca="1" ref="AK103" ca="1">Ver_flag_visit</f>
        <v/>
      </c>
      <c r="AL103" s="85" t="str">
        <f t="shared" ca="1" si="297"/>
        <v>3B</v>
      </c>
      <c r="AM103" s="589" t="str">
        <f t="shared" ref="AM103:AM113" ca="1" si="301">+IF($H$113&gt;=48,INDEX($BE$58:$BN$69,MATCH($AL103,$BD$58:$BD$69,0),MATCH(AM$5,$BE$57:$BN$57,0)),$BB59)</f>
        <v>3B</v>
      </c>
      <c r="AN103" s="86" t="str">
        <f t="shared" ref="AN103:AT103" ca="1" si="302">+IF($H$113&gt;=48,INDEX($BE$58:$BN$69,MATCH($AL103,$BD$58:$BD$69,0),MATCH(AN$5,$BE$57:$BN$57,0)),$BB59)</f>
        <v>3B</v>
      </c>
      <c r="AO103" s="86" t="str">
        <f t="shared" ca="1" si="302"/>
        <v>3B</v>
      </c>
      <c r="AP103" s="86" t="str">
        <f t="shared" ca="1" si="302"/>
        <v>3B</v>
      </c>
      <c r="AQ103" s="86" t="str">
        <f t="shared" ca="1" si="302"/>
        <v>3B</v>
      </c>
      <c r="AR103" s="86" t="str">
        <f t="shared" ca="1" si="302"/>
        <v>3B</v>
      </c>
      <c r="AS103" s="86" t="str">
        <f t="shared" ca="1" si="302"/>
        <v>3B</v>
      </c>
      <c r="AT103" s="87" t="str">
        <f t="shared" ca="1" si="302"/>
        <v>3B</v>
      </c>
      <c r="AU103" s="330" t="str">
        <f t="shared" ca="1" si="299"/>
        <v/>
      </c>
      <c r="AV103" s="182" t="str">
        <f t="shared" ca="1" si="300"/>
        <v>Australia</v>
      </c>
      <c r="AW103" s="215"/>
      <c r="AX103" s="170"/>
      <c r="AY103" s="276"/>
      <c r="AZ103" s="279" t="str">
        <f t="shared" ref="AZ103:AZ110" ca="1" si="303">+IF(OR($H$113&gt;=48,$AJ$99=144),BF117&amp;" - "&amp;BG117,"")</f>
        <v/>
      </c>
      <c r="BA103" s="176"/>
      <c r="BF103" t="str">
        <f t="shared" ref="BF103:BF110" ca="1" si="304">IFERROR(INDEX($BC$6:$BC$53,MATCH(AL102,$BD$6:$BD$53,0)),"")</f>
        <v/>
      </c>
      <c r="BG103">
        <f t="shared" ref="BG103:BG110" ca="1" si="305">COUNTIF($BF$103:$BF$110,"&lt;="&amp;BF103)</f>
        <v>0</v>
      </c>
      <c r="BI103">
        <v>1</v>
      </c>
      <c r="BJ103" t="str">
        <f t="shared" ref="BJ103:BJ110" ca="1" si="306">IFERROR(INDEX($BF$103:$BF$110,MATCH(BI103,$BG$103:$BG$110,0)),"Grupo")</f>
        <v>Grupo</v>
      </c>
    </row>
    <row r="104" spans="1:62" ht="16" customHeight="1" x14ac:dyDescent="0.2">
      <c r="A104" s="16" t="s">
        <v>663</v>
      </c>
      <c r="B104" s="16" t="s">
        <v>677</v>
      </c>
      <c r="C104" s="16"/>
      <c r="D104" s="16" t="str">
        <f t="shared" si="289"/>
        <v>W75</v>
      </c>
      <c r="E104" s="16" t="s">
        <v>2</v>
      </c>
      <c r="F104" s="16" t="s">
        <v>4</v>
      </c>
      <c r="G104" s="16" t="s">
        <v>74</v>
      </c>
      <c r="H104" s="16">
        <f t="shared" ca="1" si="290"/>
        <v>0</v>
      </c>
      <c r="I104" s="16"/>
      <c r="J104" s="16">
        <v>76</v>
      </c>
      <c r="K104" s="16">
        <v>46202.75</v>
      </c>
      <c r="L104" s="16" t="s">
        <v>700</v>
      </c>
      <c r="M104" s="16" t="str">
        <f t="shared" ca="1" si="291"/>
        <v>1C</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2F</v>
      </c>
      <c r="O104" s="16"/>
      <c r="P104" s="16"/>
      <c r="Q104" s="16"/>
      <c r="R104" s="16"/>
      <c r="S104" s="16"/>
      <c r="T104" s="16"/>
      <c r="U104" s="16"/>
      <c r="V104" s="17"/>
      <c r="W104" s="658"/>
      <c r="X104" s="24">
        <f ca="1">Horarios!C104</f>
        <v>46203.125</v>
      </c>
      <c r="Y104" s="25">
        <f ca="1">Horarios!C104</f>
        <v>46203.125</v>
      </c>
      <c r="Z104" s="280">
        <f t="shared" si="296"/>
        <v>75</v>
      </c>
      <c r="AA104" s="88" t="str">
        <f t="shared" ca="1" si="292"/>
        <v>1F</v>
      </c>
      <c r="AB104" s="89"/>
      <c r="AC104" s="92"/>
      <c r="AD104" s="92"/>
      <c r="AE104" s="89"/>
      <c r="AF104" s="91" t="str">
        <f t="shared" ca="1" si="293"/>
        <v>2C</v>
      </c>
      <c r="AG104" s="327">
        <f t="shared" si="294"/>
        <v>0</v>
      </c>
      <c r="AH104" s="195">
        <v>75</v>
      </c>
      <c r="AI104" s="182">
        <v>3</v>
      </c>
      <c r="AJ104" s="42">
        <v>3</v>
      </c>
      <c r="AK104" s="602" t="str" cm="1">
        <f t="array" aca="1" ref="AK104" ca="1">Ver_flag_visit</f>
        <v/>
      </c>
      <c r="AL104" s="85" t="str">
        <f t="shared" ca="1" si="297"/>
        <v>3C</v>
      </c>
      <c r="AM104" s="589" t="str">
        <f t="shared" ca="1" si="301"/>
        <v>3C</v>
      </c>
      <c r="AN104" s="86" t="str">
        <f t="shared" ref="AN104:AT104" ca="1" si="307">+IF($H$113&gt;=48,INDEX($BE$58:$BN$69,MATCH($AL104,$BD$58:$BD$69,0),MATCH(AN$5,$BE$57:$BN$57,0)),$BB60)</f>
        <v>3C</v>
      </c>
      <c r="AO104" s="86" t="str">
        <f t="shared" ca="1" si="307"/>
        <v>3C</v>
      </c>
      <c r="AP104" s="86" t="str">
        <f t="shared" ca="1" si="307"/>
        <v>3C</v>
      </c>
      <c r="AQ104" s="86" t="str">
        <f t="shared" ca="1" si="307"/>
        <v>3C</v>
      </c>
      <c r="AR104" s="86" t="str">
        <f t="shared" ca="1" si="307"/>
        <v>3C</v>
      </c>
      <c r="AS104" s="86" t="str">
        <f t="shared" ca="1" si="307"/>
        <v>3C</v>
      </c>
      <c r="AT104" s="87" t="str">
        <f t="shared" ca="1" si="307"/>
        <v>3C</v>
      </c>
      <c r="AU104" s="330" t="str">
        <f t="shared" ca="1" si="299"/>
        <v/>
      </c>
      <c r="AV104" s="182" t="str">
        <f t="shared" ca="1" si="300"/>
        <v>Austria</v>
      </c>
      <c r="AW104" s="215"/>
      <c r="AX104" s="170"/>
      <c r="AY104" s="276"/>
      <c r="AZ104" s="279" t="str">
        <f t="shared" ca="1" si="303"/>
        <v/>
      </c>
      <c r="BA104" s="176"/>
      <c r="BF104" t="str">
        <f t="shared" ca="1" si="304"/>
        <v/>
      </c>
      <c r="BG104">
        <f t="shared" ca="1" si="305"/>
        <v>0</v>
      </c>
      <c r="BI104">
        <v>2</v>
      </c>
      <c r="BJ104" t="str">
        <f t="shared" ca="1" si="306"/>
        <v>Grupo</v>
      </c>
    </row>
    <row r="105" spans="1:62" ht="16" customHeight="1" x14ac:dyDescent="0.2">
      <c r="A105" s="16" t="s">
        <v>685</v>
      </c>
      <c r="B105" s="16" t="s">
        <v>735</v>
      </c>
      <c r="C105" s="16"/>
      <c r="D105" s="16" t="str">
        <f t="shared" si="289"/>
        <v>W78</v>
      </c>
      <c r="E105" s="16" t="s">
        <v>448</v>
      </c>
      <c r="F105" s="16" t="s">
        <v>733</v>
      </c>
      <c r="G105" s="16" t="s">
        <v>3</v>
      </c>
      <c r="H105" s="16">
        <f t="shared" ca="1" si="290"/>
        <v>0</v>
      </c>
      <c r="I105" s="16"/>
      <c r="J105" s="16">
        <v>77</v>
      </c>
      <c r="K105" s="16">
        <v>46203.75</v>
      </c>
      <c r="L105" s="16" t="s">
        <v>701</v>
      </c>
      <c r="M105" s="16" t="str">
        <f t="shared" ca="1" si="291"/>
        <v>1I</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3CDFGH</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2E</v>
      </c>
      <c r="AB105" s="89"/>
      <c r="AC105" s="92"/>
      <c r="AD105" s="92"/>
      <c r="AE105" s="89"/>
      <c r="AF105" s="91" t="str">
        <f t="shared" ca="1" si="293"/>
        <v>2I</v>
      </c>
      <c r="AG105" s="327">
        <f t="shared" si="294"/>
        <v>0</v>
      </c>
      <c r="AH105" s="195">
        <v>78</v>
      </c>
      <c r="AI105" s="182">
        <v>4</v>
      </c>
      <c r="AJ105" s="42">
        <v>4</v>
      </c>
      <c r="AK105" s="602" t="str" cm="1">
        <f t="array" aca="1" ref="AK105" ca="1">Ver_flag_visit</f>
        <v/>
      </c>
      <c r="AL105" s="85" t="str">
        <f t="shared" ca="1" si="297"/>
        <v>3D</v>
      </c>
      <c r="AM105" s="589" t="str">
        <f t="shared" ca="1" si="301"/>
        <v>3D</v>
      </c>
      <c r="AN105" s="86" t="str">
        <f t="shared" ref="AN105:AT105" ca="1" si="308">+IF($H$113&gt;=48,INDEX($BE$58:$BN$69,MATCH($AL105,$BD$58:$BD$69,0),MATCH(AN$5,$BE$57:$BN$57,0)),$BB61)</f>
        <v>3D</v>
      </c>
      <c r="AO105" s="86" t="str">
        <f t="shared" ca="1" si="308"/>
        <v>3D</v>
      </c>
      <c r="AP105" s="86" t="str">
        <f t="shared" ca="1" si="308"/>
        <v>3D</v>
      </c>
      <c r="AQ105" s="86" t="str">
        <f t="shared" ca="1" si="308"/>
        <v>3D</v>
      </c>
      <c r="AR105" s="86" t="str">
        <f t="shared" ca="1" si="308"/>
        <v>3D</v>
      </c>
      <c r="AS105" s="86" t="str">
        <f t="shared" ca="1" si="308"/>
        <v>3D</v>
      </c>
      <c r="AT105" s="87" t="str">
        <f t="shared" ca="1" si="308"/>
        <v>3D</v>
      </c>
      <c r="AU105" s="330" t="str">
        <f t="shared" ca="1" si="299"/>
        <v/>
      </c>
      <c r="AV105" s="182" t="str">
        <f t="shared" ca="1" si="300"/>
        <v>Catar</v>
      </c>
      <c r="AW105" s="215"/>
      <c r="AX105" s="170"/>
      <c r="AY105" s="276"/>
      <c r="AZ105" s="279" t="str">
        <f t="shared" ca="1" si="303"/>
        <v/>
      </c>
      <c r="BA105" s="176"/>
      <c r="BF105" t="str">
        <f t="shared" ca="1" si="304"/>
        <v/>
      </c>
      <c r="BG105">
        <f t="shared" ca="1" si="305"/>
        <v>0</v>
      </c>
      <c r="BI105">
        <v>3</v>
      </c>
      <c r="BJ105" t="str">
        <f t="shared" ca="1" si="306"/>
        <v>Grupo</v>
      </c>
    </row>
    <row r="106" spans="1:62" ht="16" customHeight="1" x14ac:dyDescent="0.2">
      <c r="A106" s="16" t="s">
        <v>674</v>
      </c>
      <c r="B106" s="16" t="s">
        <v>686</v>
      </c>
      <c r="C106" s="16"/>
      <c r="D106" s="16" t="str">
        <f t="shared" si="289"/>
        <v>W77</v>
      </c>
      <c r="E106" s="16" t="s">
        <v>3</v>
      </c>
      <c r="F106" s="16" t="s">
        <v>448</v>
      </c>
      <c r="G106" s="16" t="s">
        <v>4</v>
      </c>
      <c r="H106" s="16">
        <f t="shared" ca="1" si="290"/>
        <v>0</v>
      </c>
      <c r="I106" s="16"/>
      <c r="J106" s="16">
        <v>78</v>
      </c>
      <c r="K106" s="16">
        <v>46203.75</v>
      </c>
      <c r="L106" s="16" t="s">
        <v>702</v>
      </c>
      <c r="M106" s="16" t="str">
        <f t="shared" ca="1" si="291"/>
        <v>2E</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2I</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1I</v>
      </c>
      <c r="AB106" s="89"/>
      <c r="AC106" s="92"/>
      <c r="AD106" s="92"/>
      <c r="AE106" s="89"/>
      <c r="AF106" s="91" t="str">
        <f t="shared" ca="1" si="293"/>
        <v>3CDFGH</v>
      </c>
      <c r="AG106" s="327">
        <f t="shared" si="294"/>
        <v>0</v>
      </c>
      <c r="AH106" s="195">
        <v>77</v>
      </c>
      <c r="AI106" s="182">
        <v>5</v>
      </c>
      <c r="AJ106" s="42">
        <v>5</v>
      </c>
      <c r="AK106" s="602" t="str" cm="1">
        <f t="array" aca="1" ref="AK106" ca="1">Ver_flag_visit</f>
        <v/>
      </c>
      <c r="AL106" s="85" t="str">
        <f t="shared" ca="1" si="297"/>
        <v>3E</v>
      </c>
      <c r="AM106" s="589" t="str">
        <f t="shared" ca="1" si="301"/>
        <v>3E</v>
      </c>
      <c r="AN106" s="86" t="str">
        <f t="shared" ref="AN106:AT106" ca="1" si="309">+IF($H$113&gt;=48,INDEX($BE$58:$BN$69,MATCH($AL106,$BD$58:$BD$69,0),MATCH(AN$5,$BE$57:$BN$57,0)),$BB62)</f>
        <v>3E</v>
      </c>
      <c r="AO106" s="86" t="str">
        <f t="shared" ca="1" si="309"/>
        <v>3E</v>
      </c>
      <c r="AP106" s="86" t="str">
        <f t="shared" ca="1" si="309"/>
        <v>3E</v>
      </c>
      <c r="AQ106" s="86" t="str">
        <f t="shared" ca="1" si="309"/>
        <v>3E</v>
      </c>
      <c r="AR106" s="86" t="str">
        <f t="shared" ca="1" si="309"/>
        <v>3E</v>
      </c>
      <c r="AS106" s="86" t="str">
        <f t="shared" ca="1" si="309"/>
        <v>3E</v>
      </c>
      <c r="AT106" s="87" t="str">
        <f t="shared" ca="1" si="309"/>
        <v>3E</v>
      </c>
      <c r="AU106" s="330" t="str">
        <f t="shared" ca="1" si="299"/>
        <v/>
      </c>
      <c r="AV106" s="182" t="str">
        <f t="shared" ca="1" si="300"/>
        <v>Corea del Sur</v>
      </c>
      <c r="AW106" s="215"/>
      <c r="AX106" s="170"/>
      <c r="AY106" s="276"/>
      <c r="AZ106" s="279" t="str">
        <f t="shared" ca="1" si="303"/>
        <v/>
      </c>
      <c r="BA106" s="176"/>
      <c r="BF106" t="str">
        <f t="shared" ca="1" si="304"/>
        <v/>
      </c>
      <c r="BG106">
        <f t="shared" ca="1" si="305"/>
        <v>0</v>
      </c>
      <c r="BI106">
        <v>4</v>
      </c>
      <c r="BJ106" t="str">
        <f t="shared" ca="1" si="306"/>
        <v>Grupo</v>
      </c>
    </row>
    <row r="107" spans="1:62" ht="16" customHeight="1" x14ac:dyDescent="0.2">
      <c r="A107" s="16" t="s">
        <v>657</v>
      </c>
      <c r="B107" s="16" t="s">
        <v>736</v>
      </c>
      <c r="C107" s="16"/>
      <c r="D107" s="16" t="str">
        <f t="shared" si="289"/>
        <v>W79</v>
      </c>
      <c r="E107" s="16" t="s">
        <v>0</v>
      </c>
      <c r="F107" s="16" t="s">
        <v>733</v>
      </c>
      <c r="G107" s="16" t="s">
        <v>6</v>
      </c>
      <c r="H107" s="16">
        <f t="shared" ca="1" si="290"/>
        <v>0</v>
      </c>
      <c r="I107" s="16"/>
      <c r="J107" s="16">
        <v>79</v>
      </c>
      <c r="K107" s="16">
        <v>46203.75</v>
      </c>
      <c r="L107" s="16" t="s">
        <v>703</v>
      </c>
      <c r="M107" s="16" t="str">
        <f t="shared" ca="1" si="291"/>
        <v>1A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3CEFHI</v>
      </c>
      <c r="O107" s="16"/>
      <c r="P107" s="16"/>
      <c r="Q107" s="16"/>
      <c r="R107" s="16"/>
      <c r="S107" s="16"/>
      <c r="T107" s="16"/>
      <c r="U107" s="16"/>
      <c r="V107" s="17"/>
      <c r="W107" s="658"/>
      <c r="X107" s="24">
        <f ca="1">Horarios!C107</f>
        <v>46204.125</v>
      </c>
      <c r="Y107" s="25">
        <f ca="1">Horarios!C107</f>
        <v>46204.125</v>
      </c>
      <c r="Z107" s="280">
        <f t="shared" si="296"/>
        <v>79</v>
      </c>
      <c r="AA107" s="88" t="str">
        <f t="shared" ca="1" si="292"/>
        <v>1A</v>
      </c>
      <c r="AB107" s="89"/>
      <c r="AC107" s="92"/>
      <c r="AD107" s="92"/>
      <c r="AE107" s="89"/>
      <c r="AF107" s="91" t="str">
        <f t="shared" ca="1" si="293"/>
        <v>3CEFHI</v>
      </c>
      <c r="AG107" s="327">
        <f t="shared" si="294"/>
        <v>0</v>
      </c>
      <c r="AH107" s="195">
        <v>79</v>
      </c>
      <c r="AI107" s="182">
        <v>6</v>
      </c>
      <c r="AJ107" s="42">
        <v>6</v>
      </c>
      <c r="AK107" s="602" t="str" cm="1">
        <f t="array" aca="1" ref="AK107" ca="1">Ver_flag_visit</f>
        <v/>
      </c>
      <c r="AL107" s="85" t="str">
        <f t="shared" ca="1" si="297"/>
        <v>3F</v>
      </c>
      <c r="AM107" s="589" t="str">
        <f t="shared" ca="1" si="301"/>
        <v>3F</v>
      </c>
      <c r="AN107" s="86" t="str">
        <f t="shared" ref="AN107:AT107" ca="1" si="310">+IF($H$113&gt;=48,INDEX($BE$58:$BN$69,MATCH($AL107,$BD$58:$BD$69,0),MATCH(AN$5,$BE$57:$BN$57,0)),$BB63)</f>
        <v>3F</v>
      </c>
      <c r="AO107" s="86" t="str">
        <f t="shared" ca="1" si="310"/>
        <v>3F</v>
      </c>
      <c r="AP107" s="86" t="str">
        <f t="shared" ca="1" si="310"/>
        <v>3F</v>
      </c>
      <c r="AQ107" s="86" t="str">
        <f t="shared" ca="1" si="310"/>
        <v>3F</v>
      </c>
      <c r="AR107" s="86" t="str">
        <f t="shared" ca="1" si="310"/>
        <v>3F</v>
      </c>
      <c r="AS107" s="86" t="str">
        <f t="shared" ca="1" si="310"/>
        <v>3F</v>
      </c>
      <c r="AT107" s="87" t="str">
        <f t="shared" ca="1" si="310"/>
        <v>3F</v>
      </c>
      <c r="AU107" s="330" t="str">
        <f t="shared" ca="1" si="299"/>
        <v/>
      </c>
      <c r="AV107" s="182" t="str">
        <f ca="1">INDEX($BD$58:$BD$69,MATCH(AI107,$BM$58:$BM$69,0))</f>
        <v>Costa de Marfil</v>
      </c>
      <c r="AW107" s="215"/>
      <c r="AX107" s="170"/>
      <c r="AY107" s="276"/>
      <c r="AZ107" s="279" t="str">
        <f t="shared" ca="1" si="303"/>
        <v/>
      </c>
      <c r="BA107" s="176"/>
      <c r="BF107" t="str">
        <f t="shared" ca="1" si="304"/>
        <v/>
      </c>
      <c r="BG107">
        <f t="shared" ca="1" si="305"/>
        <v>0</v>
      </c>
      <c r="BI107">
        <v>5</v>
      </c>
      <c r="BJ107" t="str">
        <f t="shared" ca="1" si="306"/>
        <v>Grupo</v>
      </c>
    </row>
    <row r="108" spans="1:62" ht="16" customHeight="1" x14ac:dyDescent="0.2">
      <c r="A108" s="16" t="s">
        <v>694</v>
      </c>
      <c r="B108" s="16" t="s">
        <v>737</v>
      </c>
      <c r="C108" s="16"/>
      <c r="D108" s="16" t="str">
        <f t="shared" si="289"/>
        <v>W80</v>
      </c>
      <c r="E108" s="16" t="s">
        <v>247</v>
      </c>
      <c r="F108" s="16" t="s">
        <v>733</v>
      </c>
      <c r="G108" s="16" t="s">
        <v>447</v>
      </c>
      <c r="H108" s="16">
        <f t="shared" ca="1" si="290"/>
        <v>0</v>
      </c>
      <c r="I108" s="16"/>
      <c r="J108" s="16">
        <v>80</v>
      </c>
      <c r="K108" s="16">
        <v>46204.75</v>
      </c>
      <c r="L108" s="16" t="s">
        <v>704</v>
      </c>
      <c r="M108" s="16" t="str">
        <f t="shared" ca="1" si="291"/>
        <v>1L</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3EHIJK</v>
      </c>
      <c r="O108" s="16"/>
      <c r="P108" s="16"/>
      <c r="Q108" s="16"/>
      <c r="R108" s="16"/>
      <c r="S108" s="16"/>
      <c r="T108" s="16"/>
      <c r="U108" s="16"/>
      <c r="V108" s="17"/>
      <c r="W108" s="658"/>
      <c r="X108" s="24">
        <f ca="1">Horarios!C108</f>
        <v>46204.75</v>
      </c>
      <c r="Y108" s="25">
        <f ca="1">Horarios!C108</f>
        <v>46204.75</v>
      </c>
      <c r="Z108" s="280">
        <f t="shared" si="296"/>
        <v>80</v>
      </c>
      <c r="AA108" s="88" t="str">
        <f t="shared" ca="1" si="292"/>
        <v>1L</v>
      </c>
      <c r="AB108" s="89"/>
      <c r="AC108" s="92"/>
      <c r="AD108" s="92"/>
      <c r="AE108" s="89"/>
      <c r="AF108" s="91" t="str">
        <f t="shared" ca="1" si="293"/>
        <v>3EHIJK</v>
      </c>
      <c r="AG108" s="327">
        <f t="shared" si="294"/>
        <v>0</v>
      </c>
      <c r="AH108" s="195">
        <v>80</v>
      </c>
      <c r="AI108" s="182">
        <v>7</v>
      </c>
      <c r="AJ108" s="42">
        <v>7</v>
      </c>
      <c r="AK108" s="602" t="str" cm="1">
        <f t="array" aca="1" ref="AK108" ca="1">Ver_flag_visit</f>
        <v/>
      </c>
      <c r="AL108" s="85" t="str">
        <f t="shared" ca="1" si="297"/>
        <v>3G</v>
      </c>
      <c r="AM108" s="589" t="str">
        <f t="shared" ca="1" si="301"/>
        <v>3G</v>
      </c>
      <c r="AN108" s="86" t="str">
        <f t="shared" ref="AN108:AT108" ca="1" si="311">+IF($H$113&gt;=48,INDEX($BE$58:$BN$69,MATCH($AL108,$BD$58:$BD$69,0),MATCH(AN$5,$BE$57:$BN$57,0)),$BB64)</f>
        <v>3G</v>
      </c>
      <c r="AO108" s="86" t="str">
        <f t="shared" ca="1" si="311"/>
        <v>3G</v>
      </c>
      <c r="AP108" s="86" t="str">
        <f t="shared" ca="1" si="311"/>
        <v>3G</v>
      </c>
      <c r="AQ108" s="86" t="str">
        <f t="shared" ca="1" si="311"/>
        <v>3G</v>
      </c>
      <c r="AR108" s="86" t="str">
        <f t="shared" ca="1" si="311"/>
        <v>3G</v>
      </c>
      <c r="AS108" s="86" t="str">
        <f t="shared" ca="1" si="311"/>
        <v>3G</v>
      </c>
      <c r="AT108" s="87" t="str">
        <f t="shared" ca="1" si="311"/>
        <v>3G</v>
      </c>
      <c r="AU108" s="330" t="str">
        <f t="shared" ca="1" si="299"/>
        <v/>
      </c>
      <c r="AV108" s="182" t="str">
        <f t="shared" ca="1" si="300"/>
        <v>Ghana</v>
      </c>
      <c r="AW108" s="215"/>
      <c r="AX108" s="170"/>
      <c r="AY108" s="276"/>
      <c r="AZ108" s="279" t="str">
        <f t="shared" ca="1" si="303"/>
        <v/>
      </c>
      <c r="BA108" s="176"/>
      <c r="BF108" t="str">
        <f t="shared" ca="1" si="304"/>
        <v/>
      </c>
      <c r="BG108">
        <f t="shared" ca="1" si="305"/>
        <v>0</v>
      </c>
      <c r="BI108">
        <v>6</v>
      </c>
      <c r="BJ108" t="str">
        <f t="shared" ca="1" si="306"/>
        <v>Grupo</v>
      </c>
    </row>
    <row r="109" spans="1:62" ht="16" customHeight="1" x14ac:dyDescent="0.2">
      <c r="A109" s="16" t="s">
        <v>670</v>
      </c>
      <c r="B109" s="16" t="s">
        <v>738</v>
      </c>
      <c r="C109" s="16"/>
      <c r="D109" s="16" t="str">
        <f t="shared" si="289"/>
        <v>W82</v>
      </c>
      <c r="E109" s="16" t="s">
        <v>74</v>
      </c>
      <c r="F109" s="16" t="s">
        <v>733</v>
      </c>
      <c r="G109" s="16" t="s">
        <v>448</v>
      </c>
      <c r="H109" s="16">
        <f t="shared" ca="1" si="290"/>
        <v>0</v>
      </c>
      <c r="I109" s="16"/>
      <c r="J109" s="16">
        <v>81</v>
      </c>
      <c r="K109" s="16">
        <v>46204.75</v>
      </c>
      <c r="L109" s="16" t="s">
        <v>705</v>
      </c>
      <c r="M109" s="16" t="str">
        <f t="shared" ca="1" si="291"/>
        <v>1D</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3BEFIJ</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1G</v>
      </c>
      <c r="AB109" s="89"/>
      <c r="AC109" s="92"/>
      <c r="AD109" s="92"/>
      <c r="AE109" s="89"/>
      <c r="AF109" s="91" t="str">
        <f t="shared" ca="1" si="293"/>
        <v>3AEHIJ</v>
      </c>
      <c r="AG109" s="327">
        <f t="shared" si="294"/>
        <v>0</v>
      </c>
      <c r="AH109" s="195">
        <v>82</v>
      </c>
      <c r="AI109" s="182">
        <v>8</v>
      </c>
      <c r="AJ109" s="42">
        <v>8</v>
      </c>
      <c r="AK109" s="602" t="str" cm="1">
        <f t="array" aca="1" ref="AK109" ca="1">Ver_flag_visit</f>
        <v/>
      </c>
      <c r="AL109" s="85" t="str">
        <f t="shared" ca="1" si="297"/>
        <v>3H</v>
      </c>
      <c r="AM109" s="589" t="str">
        <f t="shared" ca="1" si="301"/>
        <v>3H</v>
      </c>
      <c r="AN109" s="86" t="str">
        <f t="shared" ref="AN109:AT109" ca="1" si="312">+IF($H$113&gt;=48,INDEX($BE$58:$BN$69,MATCH($AL109,$BD$58:$BD$69,0),MATCH(AN$5,$BE$57:$BN$57,0)),$BB65)</f>
        <v>3H</v>
      </c>
      <c r="AO109" s="86" t="str">
        <f t="shared" ca="1" si="312"/>
        <v>3H</v>
      </c>
      <c r="AP109" s="86" t="str">
        <f t="shared" ca="1" si="312"/>
        <v>3H</v>
      </c>
      <c r="AQ109" s="86" t="str">
        <f t="shared" ca="1" si="312"/>
        <v>3H</v>
      </c>
      <c r="AR109" s="86" t="str">
        <f t="shared" ca="1" si="312"/>
        <v>3H</v>
      </c>
      <c r="AS109" s="86" t="str">
        <f t="shared" ca="1" si="312"/>
        <v>3H</v>
      </c>
      <c r="AT109" s="87" t="str">
        <f t="shared" ca="1" si="312"/>
        <v>3H</v>
      </c>
      <c r="AU109" s="330" t="str">
        <f t="shared" ca="1" si="299"/>
        <v/>
      </c>
      <c r="AV109" s="182" t="str">
        <f t="shared" ca="1" si="300"/>
        <v>Haití</v>
      </c>
      <c r="AW109" s="215"/>
      <c r="AX109" s="170"/>
      <c r="AY109" s="276"/>
      <c r="AZ109" s="279" t="str">
        <f t="shared" ca="1" si="303"/>
        <v/>
      </c>
      <c r="BA109" s="176"/>
      <c r="BF109" t="str">
        <f t="shared" ca="1" si="304"/>
        <v/>
      </c>
      <c r="BG109">
        <f t="shared" ca="1" si="305"/>
        <v>0</v>
      </c>
      <c r="BI109">
        <v>7</v>
      </c>
      <c r="BJ109" t="str">
        <f t="shared" ca="1" si="306"/>
        <v>Grupo</v>
      </c>
    </row>
    <row r="110" spans="1:62" ht="16" customHeight="1" x14ac:dyDescent="0.2">
      <c r="A110" s="16" t="s">
        <v>679</v>
      </c>
      <c r="B110" s="16" t="s">
        <v>739</v>
      </c>
      <c r="C110" s="16"/>
      <c r="D110" s="16" t="str">
        <f t="shared" si="289"/>
        <v>W81</v>
      </c>
      <c r="E110" s="16" t="s">
        <v>6</v>
      </c>
      <c r="F110" s="16" t="s">
        <v>733</v>
      </c>
      <c r="G110" s="16" t="s">
        <v>5</v>
      </c>
      <c r="H110" s="16">
        <f t="shared" ca="1" si="290"/>
        <v>0</v>
      </c>
      <c r="I110" s="16"/>
      <c r="J110" s="16">
        <v>82</v>
      </c>
      <c r="K110" s="16">
        <v>46204.75</v>
      </c>
      <c r="L110" s="16" t="s">
        <v>706</v>
      </c>
      <c r="M110" s="16" t="str">
        <f t="shared" ca="1" si="291"/>
        <v>1G</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3AEHIJ</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1D</v>
      </c>
      <c r="AB110" s="89"/>
      <c r="AC110" s="92"/>
      <c r="AD110" s="92"/>
      <c r="AE110" s="89"/>
      <c r="AF110" s="91" t="str">
        <f t="shared" ca="1" si="293"/>
        <v>3BEFIJ</v>
      </c>
      <c r="AG110" s="327">
        <f t="shared" si="294"/>
        <v>0</v>
      </c>
      <c r="AH110" s="195">
        <v>81</v>
      </c>
      <c r="AI110" s="182">
        <v>9</v>
      </c>
      <c r="AJ110" s="42">
        <v>9</v>
      </c>
      <c r="AK110" s="602" t="str" cm="1">
        <f t="array" aca="1" ref="AK110" ca="1">Ver_flag_visit</f>
        <v/>
      </c>
      <c r="AL110" s="85" t="str">
        <f t="shared" ca="1" si="297"/>
        <v>3I</v>
      </c>
      <c r="AM110" s="589" t="str">
        <f t="shared" ca="1" si="301"/>
        <v>3I</v>
      </c>
      <c r="AN110" s="86" t="str">
        <f t="shared" ref="AN110:AT110" ca="1" si="313">+IF($H$113&gt;=48,INDEX($BE$58:$BN$69,MATCH($AL110,$BD$58:$BD$69,0),MATCH(AN$5,$BE$57:$BN$57,0)),$BB66)</f>
        <v>3I</v>
      </c>
      <c r="AO110" s="86" t="str">
        <f t="shared" ca="1" si="313"/>
        <v>3I</v>
      </c>
      <c r="AP110" s="86" t="str">
        <f t="shared" ca="1" si="313"/>
        <v>3I</v>
      </c>
      <c r="AQ110" s="86" t="str">
        <f t="shared" ca="1" si="313"/>
        <v>3I</v>
      </c>
      <c r="AR110" s="86" t="str">
        <f t="shared" ca="1" si="313"/>
        <v>3I</v>
      </c>
      <c r="AS110" s="86" t="str">
        <f t="shared" ca="1" si="313"/>
        <v>3I</v>
      </c>
      <c r="AT110" s="87" t="str">
        <f t="shared" ca="1" si="313"/>
        <v>3I</v>
      </c>
      <c r="AU110" s="330" t="str">
        <f t="shared" ca="1" si="299"/>
        <v/>
      </c>
      <c r="AV110" s="182" t="str">
        <f t="shared" ca="1" si="300"/>
        <v>Irak</v>
      </c>
      <c r="AW110" s="215"/>
      <c r="AX110" s="170"/>
      <c r="AY110" s="276"/>
      <c r="AZ110" s="279" t="str">
        <f t="shared" ca="1" si="303"/>
        <v/>
      </c>
      <c r="BA110" s="176"/>
      <c r="BF110" t="str">
        <f t="shared" ca="1" si="304"/>
        <v/>
      </c>
      <c r="BG110">
        <f t="shared" ca="1" si="305"/>
        <v>0</v>
      </c>
      <c r="BI110">
        <v>8</v>
      </c>
      <c r="BJ110" t="str">
        <f t="shared" ca="1" si="306"/>
        <v>Grupo</v>
      </c>
    </row>
    <row r="111" spans="1:62" ht="16" customHeight="1" x14ac:dyDescent="0.2">
      <c r="A111" s="16" t="s">
        <v>692</v>
      </c>
      <c r="B111" s="16" t="s">
        <v>695</v>
      </c>
      <c r="C111" s="16"/>
      <c r="D111" s="16" t="str">
        <f t="shared" si="289"/>
        <v>W84</v>
      </c>
      <c r="E111" s="16" t="s">
        <v>449</v>
      </c>
      <c r="F111" s="16" t="s">
        <v>247</v>
      </c>
      <c r="G111" s="16" t="s">
        <v>449</v>
      </c>
      <c r="H111" s="16">
        <f t="shared" ca="1" si="290"/>
        <v>0</v>
      </c>
      <c r="I111" s="16"/>
      <c r="J111" s="16">
        <v>83</v>
      </c>
      <c r="K111" s="16">
        <v>46205.75</v>
      </c>
      <c r="L111" s="16" t="s">
        <v>707</v>
      </c>
      <c r="M111" s="16" t="str">
        <f t="shared" ca="1" si="291"/>
        <v>2K</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2L</v>
      </c>
      <c r="O111" s="16"/>
      <c r="P111" s="16"/>
      <c r="Q111" s="16"/>
      <c r="R111" s="16"/>
      <c r="S111" s="16"/>
      <c r="T111" s="16"/>
      <c r="U111" s="16"/>
      <c r="V111" s="17"/>
      <c r="W111" s="658"/>
      <c r="X111" s="24">
        <f ca="1">Horarios!C111</f>
        <v>46205.875</v>
      </c>
      <c r="Y111" s="25">
        <f ca="1">Horarios!C111</f>
        <v>46205.875</v>
      </c>
      <c r="Z111" s="280">
        <f t="shared" si="296"/>
        <v>84</v>
      </c>
      <c r="AA111" s="88" t="str">
        <f t="shared" ca="1" si="292"/>
        <v>1H</v>
      </c>
      <c r="AB111" s="89"/>
      <c r="AC111" s="92"/>
      <c r="AD111" s="92"/>
      <c r="AE111" s="89"/>
      <c r="AF111" s="91" t="str">
        <f t="shared" ca="1" si="293"/>
        <v>2J</v>
      </c>
      <c r="AG111" s="327">
        <f t="shared" si="294"/>
        <v>0</v>
      </c>
      <c r="AH111" s="195">
        <v>84</v>
      </c>
      <c r="AI111" s="182">
        <v>10</v>
      </c>
      <c r="AJ111" s="42">
        <v>10</v>
      </c>
      <c r="AK111" s="602" t="str" cm="1">
        <f t="array" aca="1" ref="AK111" ca="1">Ver_flag_visit</f>
        <v/>
      </c>
      <c r="AL111" s="85" t="str">
        <f t="shared" ca="1" si="297"/>
        <v>3J</v>
      </c>
      <c r="AM111" s="589" t="str">
        <f t="shared" ca="1" si="301"/>
        <v>3J</v>
      </c>
      <c r="AN111" s="86" t="str">
        <f t="shared" ref="AN111:AT111" ca="1" si="314">+IF($H$113&gt;=48,INDEX($BE$58:$BN$69,MATCH($AL111,$BD$58:$BD$69,0),MATCH(AN$5,$BE$57:$BN$57,0)),$BB67)</f>
        <v>3J</v>
      </c>
      <c r="AO111" s="86" t="str">
        <f t="shared" ca="1" si="314"/>
        <v>3J</v>
      </c>
      <c r="AP111" s="86" t="str">
        <f t="shared" ca="1" si="314"/>
        <v>3J</v>
      </c>
      <c r="AQ111" s="86" t="str">
        <f t="shared" ca="1" si="314"/>
        <v>3J</v>
      </c>
      <c r="AR111" s="86" t="str">
        <f t="shared" ca="1" si="314"/>
        <v>3J</v>
      </c>
      <c r="AS111" s="86" t="str">
        <f t="shared" ca="1" si="314"/>
        <v>3J</v>
      </c>
      <c r="AT111" s="87" t="str">
        <f t="shared" ca="1" si="314"/>
        <v>3J</v>
      </c>
      <c r="AU111" s="330" t="str">
        <f t="shared" ca="1" si="299"/>
        <v/>
      </c>
      <c r="AV111" s="182" t="str">
        <f t="shared" ca="1" si="300"/>
        <v>Irán</v>
      </c>
      <c r="AW111" s="215"/>
      <c r="AX111" s="170"/>
      <c r="AY111" s="275"/>
      <c r="AZ111" s="275"/>
      <c r="BA111" s="176"/>
      <c r="BI111" t="s">
        <v>87</v>
      </c>
    </row>
    <row r="112" spans="1:62" ht="16" customHeight="1" x14ac:dyDescent="0.2">
      <c r="A112" s="16" t="s">
        <v>682</v>
      </c>
      <c r="B112" s="16" t="s">
        <v>689</v>
      </c>
      <c r="C112" s="16"/>
      <c r="D112" s="16" t="str">
        <f t="shared" si="289"/>
        <v>W83</v>
      </c>
      <c r="E112" s="16" t="s">
        <v>447</v>
      </c>
      <c r="F112" s="16" t="s">
        <v>5</v>
      </c>
      <c r="G112" s="16" t="s">
        <v>247</v>
      </c>
      <c r="H112" s="16">
        <f t="shared" ca="1" si="290"/>
        <v>0</v>
      </c>
      <c r="I112" s="16"/>
      <c r="J112" s="16">
        <v>84</v>
      </c>
      <c r="K112" s="16">
        <v>46205.75</v>
      </c>
      <c r="L112" s="16" t="s">
        <v>708</v>
      </c>
      <c r="M112" s="16" t="str">
        <f t="shared" ca="1" si="291"/>
        <v>1H</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2J</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2K</v>
      </c>
      <c r="AB112" s="89"/>
      <c r="AC112" s="92"/>
      <c r="AD112" s="92"/>
      <c r="AE112" s="89"/>
      <c r="AF112" s="91" t="str">
        <f t="shared" ca="1" si="293"/>
        <v>2L</v>
      </c>
      <c r="AG112" s="327">
        <f t="shared" si="294"/>
        <v>0</v>
      </c>
      <c r="AH112" s="195">
        <v>83</v>
      </c>
      <c r="AI112" s="182">
        <v>11</v>
      </c>
      <c r="AJ112" s="42">
        <v>11</v>
      </c>
      <c r="AK112" s="602" t="str" cm="1">
        <f t="array" aca="1" ref="AK112" ca="1">Ver_flag_visit</f>
        <v/>
      </c>
      <c r="AL112" s="85" t="str">
        <f t="shared" ca="1" si="297"/>
        <v>3K</v>
      </c>
      <c r="AM112" s="589" t="str">
        <f t="shared" ca="1" si="301"/>
        <v>3K</v>
      </c>
      <c r="AN112" s="86" t="str">
        <f t="shared" ref="AN112:AT112" ca="1" si="315">+IF($H$113&gt;=48,INDEX($BE$58:$BN$69,MATCH($AL112,$BD$58:$BD$69,0),MATCH(AN$5,$BE$57:$BN$57,0)),$BB68)</f>
        <v>3K</v>
      </c>
      <c r="AO112" s="86" t="str">
        <f t="shared" ca="1" si="315"/>
        <v>3K</v>
      </c>
      <c r="AP112" s="86" t="str">
        <f t="shared" ca="1" si="315"/>
        <v>3K</v>
      </c>
      <c r="AQ112" s="86" t="str">
        <f t="shared" ca="1" si="315"/>
        <v>3K</v>
      </c>
      <c r="AR112" s="86" t="str">
        <f t="shared" ca="1" si="315"/>
        <v>3K</v>
      </c>
      <c r="AS112" s="86" t="str">
        <f t="shared" ca="1" si="315"/>
        <v>3K</v>
      </c>
      <c r="AT112" s="87" t="str">
        <f t="shared" ca="1" si="315"/>
        <v>3K</v>
      </c>
      <c r="AU112" s="330" t="str">
        <f t="shared" ca="1" si="299"/>
        <v/>
      </c>
      <c r="AV112" s="182" t="str">
        <f t="shared" ca="1" si="300"/>
        <v>Suecia</v>
      </c>
      <c r="AW112" s="215"/>
      <c r="AX112" s="170"/>
      <c r="AY112" s="275"/>
      <c r="AZ112" s="275"/>
      <c r="BA112" s="176"/>
      <c r="BI112" t="str">
        <f ca="1">IFERROR(CONCATENATE(BJ103,BJ104,BJ105,BJ106,BJ107,BJ108,BJ109,BJ110),"¿A/B/C/D/E/F/G/H/I/J/K/L?")</f>
        <v>GrupoGrupoGrupoGrupoGrupoGrupoGrupoGrupo</v>
      </c>
    </row>
    <row r="113" spans="1:59" ht="16" customHeight="1" thickBot="1" x14ac:dyDescent="0.25">
      <c r="A113" s="16" t="s">
        <v>660</v>
      </c>
      <c r="B113" s="16" t="s">
        <v>740</v>
      </c>
      <c r="C113" s="16"/>
      <c r="D113" s="16" t="str">
        <f t="shared" si="289"/>
        <v>W85</v>
      </c>
      <c r="E113" s="16" t="s">
        <v>1</v>
      </c>
      <c r="F113" s="16" t="s">
        <v>733</v>
      </c>
      <c r="G113" s="16" t="s">
        <v>733</v>
      </c>
      <c r="H113" s="16">
        <f ca="1">+IF($AJ$99&lt;&gt;144,SUM(H101:H112),$AJ$99)</f>
        <v>0</v>
      </c>
      <c r="I113" s="16"/>
      <c r="J113" s="16">
        <v>85</v>
      </c>
      <c r="K113" s="16">
        <v>46205.75</v>
      </c>
      <c r="L113" s="16" t="s">
        <v>709</v>
      </c>
      <c r="M113" s="16" t="str">
        <f t="shared" ca="1" si="291"/>
        <v>1B</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3EFGIJ</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1B</v>
      </c>
      <c r="AB113" s="89"/>
      <c r="AC113" s="92"/>
      <c r="AD113" s="92"/>
      <c r="AE113" s="90"/>
      <c r="AF113" s="91" t="str">
        <f t="shared" ca="1" si="293"/>
        <v>3EFGIJ</v>
      </c>
      <c r="AG113" s="327">
        <f t="shared" si="294"/>
        <v>0</v>
      </c>
      <c r="AH113" s="195">
        <v>85</v>
      </c>
      <c r="AI113" s="182">
        <v>12</v>
      </c>
      <c r="AJ113" s="44">
        <v>12</v>
      </c>
      <c r="AK113" s="604" t="str" cm="1">
        <f t="array" aca="1" ref="AK113" ca="1">Ver_flag_visit</f>
        <v/>
      </c>
      <c r="AL113" s="45" t="str">
        <f t="shared" ca="1" si="297"/>
        <v>3L</v>
      </c>
      <c r="AM113" s="590" t="str">
        <f t="shared" ca="1" si="301"/>
        <v>3L</v>
      </c>
      <c r="AN113" s="47" t="str">
        <f t="shared" ref="AN113:AT113" ca="1" si="316">+IF($H$113&gt;=48,INDEX($BE$58:$BN$69,MATCH($AL113,$BD$58:$BD$69,0),MATCH(AN$5,$BE$57:$BN$57,0)),$BB69)</f>
        <v>3L</v>
      </c>
      <c r="AO113" s="47" t="str">
        <f t="shared" ca="1" si="316"/>
        <v>3L</v>
      </c>
      <c r="AP113" s="47" t="str">
        <f t="shared" ca="1" si="316"/>
        <v>3L</v>
      </c>
      <c r="AQ113" s="47" t="str">
        <f t="shared" ca="1" si="316"/>
        <v>3L</v>
      </c>
      <c r="AR113" s="47" t="str">
        <f t="shared" ca="1" si="316"/>
        <v>3L</v>
      </c>
      <c r="AS113" s="47" t="str">
        <f t="shared" ca="1" si="316"/>
        <v>3L</v>
      </c>
      <c r="AT113" s="48" t="str">
        <f t="shared" ca="1" si="316"/>
        <v>3L</v>
      </c>
      <c r="AU113" s="330" t="str">
        <f t="shared" ca="1" si="299"/>
        <v/>
      </c>
      <c r="AV113" s="182" t="str">
        <f t="shared" ca="1" si="300"/>
        <v>Uzbekistán</v>
      </c>
      <c r="AW113" s="215"/>
      <c r="AX113" s="170"/>
      <c r="AY113" s="154"/>
      <c r="AZ113" s="155"/>
      <c r="BA113" s="176"/>
    </row>
    <row r="114" spans="1:59" ht="16" customHeight="1" x14ac:dyDescent="0.2">
      <c r="A114" s="16" t="s">
        <v>688</v>
      </c>
      <c r="B114" s="16" t="s">
        <v>683</v>
      </c>
      <c r="C114" s="16"/>
      <c r="D114" s="16" t="str">
        <f t="shared" si="289"/>
        <v>W88</v>
      </c>
      <c r="E114" s="16" t="s">
        <v>5</v>
      </c>
      <c r="F114" s="16" t="s">
        <v>447</v>
      </c>
      <c r="G114" s="16"/>
      <c r="H114" s="16"/>
      <c r="I114" s="16"/>
      <c r="J114" s="16">
        <v>86</v>
      </c>
      <c r="K114" s="16">
        <v>46206.75</v>
      </c>
      <c r="L114" s="16" t="s">
        <v>710</v>
      </c>
      <c r="M114" s="16" t="str">
        <f t="shared" ca="1" si="291"/>
        <v>1J</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2H</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2D</v>
      </c>
      <c r="AB114" s="89"/>
      <c r="AC114" s="92"/>
      <c r="AD114" s="92"/>
      <c r="AE114" s="89"/>
      <c r="AF114" s="91" t="str">
        <f t="shared" ca="1" si="293"/>
        <v>2G</v>
      </c>
      <c r="AG114" s="327">
        <f t="shared" si="294"/>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691</v>
      </c>
      <c r="B115" s="16" t="s">
        <v>741</v>
      </c>
      <c r="C115" s="16"/>
      <c r="D115" s="16" t="str">
        <f t="shared" si="289"/>
        <v>W86</v>
      </c>
      <c r="E115" s="16" t="s">
        <v>449</v>
      </c>
      <c r="F115" s="16" t="s">
        <v>733</v>
      </c>
      <c r="G115" s="16"/>
      <c r="H115" s="16"/>
      <c r="I115" s="16"/>
      <c r="J115" s="16">
        <v>87</v>
      </c>
      <c r="K115" s="16">
        <v>46206.75</v>
      </c>
      <c r="L115" s="16" t="s">
        <v>711</v>
      </c>
      <c r="M115" s="16" t="str">
        <f t="shared" ca="1" si="291"/>
        <v>1K</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3DEIJL</v>
      </c>
      <c r="O115" s="16"/>
      <c r="P115" s="16"/>
      <c r="Q115" s="16"/>
      <c r="R115" s="16"/>
      <c r="S115" s="16"/>
      <c r="T115" s="16"/>
      <c r="U115" s="16"/>
      <c r="V115" s="17"/>
      <c r="W115" s="658"/>
      <c r="X115" s="24">
        <f ca="1">Horarios!C115</f>
        <v>46207</v>
      </c>
      <c r="Y115" s="25">
        <f ca="1">Horarios!C115</f>
        <v>46207</v>
      </c>
      <c r="Z115" s="280">
        <f t="shared" si="296"/>
        <v>86</v>
      </c>
      <c r="AA115" s="88" t="str">
        <f t="shared" ca="1" si="292"/>
        <v>1J</v>
      </c>
      <c r="AB115" s="89"/>
      <c r="AC115" s="92"/>
      <c r="AD115" s="92"/>
      <c r="AE115" s="89"/>
      <c r="AF115" s="91" t="str">
        <f t="shared" ca="1" si="293"/>
        <v>2H</v>
      </c>
      <c r="AG115" s="327">
        <f t="shared" si="294"/>
        <v>0</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671</v>
      </c>
      <c r="B116" s="16" t="s">
        <v>680</v>
      </c>
      <c r="C116" s="16"/>
      <c r="D116" s="16" t="str">
        <f t="shared" si="289"/>
        <v>W87</v>
      </c>
      <c r="E116" s="16" t="s">
        <v>74</v>
      </c>
      <c r="F116" s="16" t="s">
        <v>6</v>
      </c>
      <c r="G116" s="16"/>
      <c r="H116" s="16"/>
      <c r="I116" s="16"/>
      <c r="J116" s="16">
        <v>88</v>
      </c>
      <c r="K116" s="16">
        <v>46206.75</v>
      </c>
      <c r="L116" s="16" t="s">
        <v>712</v>
      </c>
      <c r="M116" s="16" t="str">
        <f t="shared" ca="1" si="291"/>
        <v>2D</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2G</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1K</v>
      </c>
      <c r="AB116" s="94"/>
      <c r="AC116" s="277"/>
      <c r="AD116" s="277"/>
      <c r="AE116" s="94"/>
      <c r="AF116" s="95" t="str">
        <f t="shared" ca="1" si="293"/>
        <v>3DEIJL</v>
      </c>
      <c r="AG116" s="327">
        <f t="shared" si="294"/>
        <v>0</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657</v>
      </c>
      <c r="BG117" t="str">
        <f ca="1">+IFERROR(INDEX(Combinaciones!$P$2:$W$496,MATCH(1,Combinaciones!$B$2:$B$497,0),MATCH(WORLDCUP!BF117,Combinaciones!$P$1:$W$1,0)),"")</f>
        <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660</v>
      </c>
      <c r="BG118" t="str">
        <f ca="1">+IFERROR(INDEX(Combinaciones!$P$2:$W$496,MATCH(1,Combinaciones!$B$2:$B$497,0),MATCH(WORLDCUP!BF118,Combinaciones!$P$1:$W$1,0)),"")</f>
        <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670</v>
      </c>
      <c r="BG119" t="str">
        <f ca="1">+IFERROR(INDEX(Combinaciones!$P$2:$W$496,MATCH(1,Combinaciones!$B$2:$B$497,0),MATCH(WORLDCUP!BF119,Combinaciones!$P$1:$W$1,0)),"")</f>
        <v/>
      </c>
    </row>
    <row r="120" spans="1:59" ht="16" customHeight="1" x14ac:dyDescent="0.2">
      <c r="A120" s="16" t="s">
        <v>742</v>
      </c>
      <c r="B120" s="16" t="s">
        <v>743</v>
      </c>
      <c r="C120" s="16"/>
      <c r="D120" s="16" t="str">
        <f t="shared" ref="D120:D127" si="317">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713</v>
      </c>
      <c r="M120" s="16" t="str">
        <f t="shared" ref="M120:N127" si="318">+INDEX($D$101:$D$147,MATCH(E120,$AH$101:$AH$147,0))</f>
        <v>W74</v>
      </c>
      <c r="N120" s="16" t="str">
        <f t="shared" si="318"/>
        <v>W77</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si="320">+INDEX($M$101:$M$147,MATCH(AH120,$J$101:$J$147,0))</f>
        <v>W73</v>
      </c>
      <c r="AB120" s="89"/>
      <c r="AC120" s="96"/>
      <c r="AD120" s="96"/>
      <c r="AE120" s="89"/>
      <c r="AF120" s="91" t="str">
        <f t="shared" ref="AF120:AF127" si="321">+INDEX($N$101:$N$147,MATCH(AH120,$J$101:$J$147,0))</f>
        <v>W75</v>
      </c>
      <c r="AG120" s="327">
        <f t="shared" ref="AG120:AG127" si="322">IF(D120="W"&amp;AH120,0,1)</f>
        <v>0</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673</v>
      </c>
      <c r="BG120" t="str">
        <f ca="1">+IFERROR(INDEX(Combinaciones!$P$2:$W$496,MATCH(1,Combinaciones!$B$2:$B$497,0),MATCH(WORLDCUP!BF120,Combinaciones!$P$1:$W$1,0)),"")</f>
        <v/>
      </c>
    </row>
    <row r="121" spans="1:59" ht="16" customHeight="1" x14ac:dyDescent="0.2">
      <c r="A121" s="16" t="s">
        <v>744</v>
      </c>
      <c r="B121" s="16" t="s">
        <v>745</v>
      </c>
      <c r="C121" s="16"/>
      <c r="D121" s="16" t="str">
        <f t="shared" si="317"/>
        <v>W89</v>
      </c>
      <c r="E121" s="16">
        <v>73</v>
      </c>
      <c r="F121" s="16">
        <v>75</v>
      </c>
      <c r="G121" s="16"/>
      <c r="H121" s="16"/>
      <c r="I121" s="16"/>
      <c r="J121" s="16">
        <v>90</v>
      </c>
      <c r="K121" s="16">
        <v>46207.875</v>
      </c>
      <c r="L121" s="16" t="s">
        <v>714</v>
      </c>
      <c r="M121" s="16" t="str">
        <f t="shared" si="318"/>
        <v>W73</v>
      </c>
      <c r="N121" s="16" t="str">
        <f t="shared" si="318"/>
        <v>W75</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si="320"/>
        <v>W74</v>
      </c>
      <c r="AB121" s="89"/>
      <c r="AC121" s="97"/>
      <c r="AD121" s="97"/>
      <c r="AE121" s="89"/>
      <c r="AF121" s="91" t="str">
        <f t="shared" si="321"/>
        <v>W77</v>
      </c>
      <c r="AG121" s="327">
        <f t="shared" si="322"/>
        <v>0</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679</v>
      </c>
      <c r="BG121" t="str">
        <f ca="1">+IFERROR(INDEX(Combinaciones!$P$2:$W$496,MATCH(1,Combinaciones!$B$2:$B$497,0),MATCH(WORLDCUP!BF121,Combinaciones!$P$1:$W$1,0)),"")</f>
        <v/>
      </c>
    </row>
    <row r="122" spans="1:59" ht="16" customHeight="1" x14ac:dyDescent="0.2">
      <c r="A122" s="16" t="s">
        <v>746</v>
      </c>
      <c r="B122" s="16" t="s">
        <v>747</v>
      </c>
      <c r="C122" s="16"/>
      <c r="D122" s="16" t="str">
        <f t="shared" si="317"/>
        <v>W91</v>
      </c>
      <c r="E122" s="16">
        <v>76</v>
      </c>
      <c r="F122" s="16">
        <v>78</v>
      </c>
      <c r="G122" s="16"/>
      <c r="H122" s="16"/>
      <c r="I122" s="16"/>
      <c r="J122" s="16">
        <v>91</v>
      </c>
      <c r="K122" s="16">
        <v>46208.75</v>
      </c>
      <c r="L122" s="16" t="s">
        <v>715</v>
      </c>
      <c r="M122" s="16" t="str">
        <f t="shared" si="318"/>
        <v>W76</v>
      </c>
      <c r="N122" s="16" t="str">
        <f t="shared" si="318"/>
        <v>W78</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si="320"/>
        <v>W76</v>
      </c>
      <c r="AB122" s="89"/>
      <c r="AC122" s="97"/>
      <c r="AD122" s="97"/>
      <c r="AE122" s="89"/>
      <c r="AF122" s="91" t="str">
        <f t="shared" si="321"/>
        <v>W78</v>
      </c>
      <c r="AG122" s="327">
        <f t="shared" si="322"/>
        <v>0</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685</v>
      </c>
      <c r="BG122" t="str">
        <f ca="1">+IFERROR(INDEX(Combinaciones!$P$2:$W$496,MATCH(1,Combinaciones!$B$2:$B$497,0),MATCH(WORLDCUP!BF122,Combinaciones!$P$1:$W$1,0)),"")</f>
        <v/>
      </c>
    </row>
    <row r="123" spans="1:59" ht="16" customHeight="1" x14ac:dyDescent="0.2">
      <c r="A123" s="16" t="s">
        <v>748</v>
      </c>
      <c r="B123" s="16" t="s">
        <v>749</v>
      </c>
      <c r="C123" s="16"/>
      <c r="D123" s="16" t="str">
        <f t="shared" si="317"/>
        <v>W92</v>
      </c>
      <c r="E123" s="16">
        <v>79</v>
      </c>
      <c r="F123" s="16">
        <v>80</v>
      </c>
      <c r="G123" s="16"/>
      <c r="H123" s="16"/>
      <c r="I123" s="16"/>
      <c r="J123" s="16">
        <v>92</v>
      </c>
      <c r="K123" s="16">
        <v>46208.875</v>
      </c>
      <c r="L123" s="16" t="s">
        <v>716</v>
      </c>
      <c r="M123" s="16" t="str">
        <f t="shared" si="318"/>
        <v>W79</v>
      </c>
      <c r="N123" s="16" t="str">
        <f t="shared" si="318"/>
        <v>W80</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si="320"/>
        <v>W79</v>
      </c>
      <c r="AB123" s="89"/>
      <c r="AC123" s="97"/>
      <c r="AD123" s="97"/>
      <c r="AE123" s="89"/>
      <c r="AF123" s="91" t="str">
        <f t="shared" si="321"/>
        <v>W80</v>
      </c>
      <c r="AG123" s="327">
        <f t="shared" si="322"/>
        <v>0</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691</v>
      </c>
      <c r="BG123" t="str">
        <f ca="1">+IFERROR(INDEX(Combinaciones!$P$2:$W$496,MATCH(1,Combinaciones!$B$2:$B$497,0),MATCH(WORLDCUP!BF123,Combinaciones!$P$1:$W$1,0)),"")</f>
        <v/>
      </c>
    </row>
    <row r="124" spans="1:59" ht="16" customHeight="1" x14ac:dyDescent="0.2">
      <c r="A124" s="16" t="s">
        <v>750</v>
      </c>
      <c r="B124" s="16" t="s">
        <v>751</v>
      </c>
      <c r="C124" s="16"/>
      <c r="D124" s="16" t="str">
        <f t="shared" si="317"/>
        <v>W93</v>
      </c>
      <c r="E124" s="16">
        <v>83</v>
      </c>
      <c r="F124" s="16">
        <v>84</v>
      </c>
      <c r="G124" s="16"/>
      <c r="H124" s="16"/>
      <c r="I124" s="16"/>
      <c r="J124" s="16">
        <v>93</v>
      </c>
      <c r="K124" s="16">
        <v>46209.75</v>
      </c>
      <c r="L124" s="16" t="s">
        <v>717</v>
      </c>
      <c r="M124" s="16" t="str">
        <f t="shared" si="318"/>
        <v>W83</v>
      </c>
      <c r="N124" s="16" t="str">
        <f t="shared" si="318"/>
        <v>W84</v>
      </c>
      <c r="O124" s="16"/>
      <c r="P124" s="16"/>
      <c r="Q124" s="16"/>
      <c r="R124" s="16"/>
      <c r="S124" s="16"/>
      <c r="T124" s="16"/>
      <c r="U124" s="16"/>
      <c r="V124" s="17"/>
      <c r="W124" s="660"/>
      <c r="X124" s="24">
        <f ca="1">Horarios!C124</f>
        <v>46209.875</v>
      </c>
      <c r="Y124" s="25">
        <f ca="1">Horarios!C124</f>
        <v>46209.875</v>
      </c>
      <c r="Z124" s="280">
        <f t="shared" si="319"/>
        <v>93</v>
      </c>
      <c r="AA124" s="88" t="str">
        <f t="shared" si="320"/>
        <v>W83</v>
      </c>
      <c r="AB124" s="98"/>
      <c r="AC124" s="97"/>
      <c r="AD124" s="97"/>
      <c r="AE124" s="90"/>
      <c r="AF124" s="91" t="str">
        <f t="shared" si="321"/>
        <v>W84</v>
      </c>
      <c r="AG124" s="327">
        <f t="shared" si="322"/>
        <v>0</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694</v>
      </c>
      <c r="BG124" t="str">
        <f ca="1">+IFERROR(INDEX(Combinaciones!$P$2:$W$496,MATCH(1,Combinaciones!$B$2:$B$497,0),MATCH(WORLDCUP!BF124,Combinaciones!$P$1:$W$1,0)),"")</f>
        <v/>
      </c>
    </row>
    <row r="125" spans="1:59" ht="16" customHeight="1" x14ac:dyDescent="0.2">
      <c r="A125" s="16" t="s">
        <v>752</v>
      </c>
      <c r="B125" s="16" t="s">
        <v>753</v>
      </c>
      <c r="C125" s="16"/>
      <c r="D125" s="16" t="str">
        <f t="shared" si="317"/>
        <v>W94</v>
      </c>
      <c r="E125" s="16">
        <v>81</v>
      </c>
      <c r="F125" s="16">
        <v>82</v>
      </c>
      <c r="G125" s="16"/>
      <c r="H125" s="16"/>
      <c r="I125" s="16"/>
      <c r="J125" s="16">
        <v>94</v>
      </c>
      <c r="K125" s="16">
        <v>46209.875</v>
      </c>
      <c r="L125" s="16" t="s">
        <v>718</v>
      </c>
      <c r="M125" s="16" t="str">
        <f t="shared" si="318"/>
        <v>W81</v>
      </c>
      <c r="N125" s="16" t="str">
        <f t="shared" si="318"/>
        <v>W82</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si="320"/>
        <v>W81</v>
      </c>
      <c r="AB125" s="89"/>
      <c r="AC125" s="99"/>
      <c r="AD125" s="99"/>
      <c r="AE125" s="89"/>
      <c r="AF125" s="91" t="str">
        <f t="shared" si="321"/>
        <v>W82</v>
      </c>
      <c r="AG125" s="327">
        <f t="shared" si="322"/>
        <v>0</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754</v>
      </c>
      <c r="B126" s="16" t="s">
        <v>755</v>
      </c>
      <c r="C126" s="16"/>
      <c r="D126" s="16" t="str">
        <f t="shared" si="317"/>
        <v>W95</v>
      </c>
      <c r="E126" s="16">
        <v>86</v>
      </c>
      <c r="F126" s="16">
        <v>88</v>
      </c>
      <c r="G126" s="16"/>
      <c r="H126" s="16"/>
      <c r="I126" s="16"/>
      <c r="J126" s="16">
        <v>95</v>
      </c>
      <c r="K126" s="16">
        <v>46210.75</v>
      </c>
      <c r="L126" s="16" t="s">
        <v>719</v>
      </c>
      <c r="M126" s="16" t="str">
        <f t="shared" si="318"/>
        <v>W86</v>
      </c>
      <c r="N126" s="16" t="str">
        <f t="shared" si="318"/>
        <v>W88</v>
      </c>
      <c r="O126" s="16"/>
      <c r="P126" s="16"/>
      <c r="Q126" s="16"/>
      <c r="R126" s="16"/>
      <c r="S126" s="16"/>
      <c r="T126" s="16"/>
      <c r="U126" s="16"/>
      <c r="V126" s="17"/>
      <c r="W126" s="660"/>
      <c r="X126" s="24">
        <f ca="1">Horarios!C126</f>
        <v>46210.75</v>
      </c>
      <c r="Y126" s="25">
        <f ca="1">Horarios!C126</f>
        <v>46210.75</v>
      </c>
      <c r="Z126" s="280">
        <f t="shared" si="319"/>
        <v>95</v>
      </c>
      <c r="AA126" s="88" t="str">
        <f t="shared" si="320"/>
        <v>W86</v>
      </c>
      <c r="AB126" s="89"/>
      <c r="AC126" s="99"/>
      <c r="AD126" s="99"/>
      <c r="AE126" s="89"/>
      <c r="AF126" s="91" t="str">
        <f t="shared" si="321"/>
        <v>W88</v>
      </c>
      <c r="AG126" s="327">
        <f t="shared" si="322"/>
        <v>0</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756</v>
      </c>
      <c r="B127" s="16" t="s">
        <v>757</v>
      </c>
      <c r="C127" s="16"/>
      <c r="D127" s="16" t="str">
        <f t="shared" si="317"/>
        <v>W96</v>
      </c>
      <c r="E127" s="16">
        <v>85</v>
      </c>
      <c r="F127" s="16">
        <v>87</v>
      </c>
      <c r="G127" s="16"/>
      <c r="H127" s="16"/>
      <c r="I127" s="16"/>
      <c r="J127" s="16">
        <v>96</v>
      </c>
      <c r="K127" s="16">
        <v>46210.875</v>
      </c>
      <c r="L127" s="16" t="s">
        <v>720</v>
      </c>
      <c r="M127" s="16" t="str">
        <f t="shared" si="318"/>
        <v>W85</v>
      </c>
      <c r="N127" s="16" t="str">
        <f t="shared" si="318"/>
        <v>W87</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si="320"/>
        <v>W85</v>
      </c>
      <c r="AB127" s="94"/>
      <c r="AC127" s="100"/>
      <c r="AD127" s="100"/>
      <c r="AE127" s="94"/>
      <c r="AF127" s="95" t="str">
        <f t="shared" si="321"/>
        <v>W87</v>
      </c>
      <c r="AG127" s="327">
        <f t="shared" si="322"/>
        <v>0</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758</v>
      </c>
      <c r="B131" s="16" t="s">
        <v>759</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721</v>
      </c>
      <c r="M131" s="16" t="str">
        <f t="shared" ref="M131:N134" si="323">+INDEX($D$101:$D$147,MATCH(E131,$AH$101:$AH$147,0))</f>
        <v>W89</v>
      </c>
      <c r="N131" s="16" t="str">
        <f t="shared" si="323"/>
        <v>W90</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si="325">+INDEX($M$101:$M$147,MATCH(AH131,$J$101:$J$147,0))</f>
        <v>W89</v>
      </c>
      <c r="AB131" s="98"/>
      <c r="AC131" s="96"/>
      <c r="AD131" s="96"/>
      <c r="AE131" s="90"/>
      <c r="AF131" s="116" t="str">
        <f>+INDEX($N$101:$N$147,MATCH(AH131,$J$101:$J$147,0))</f>
        <v>W90</v>
      </c>
      <c r="AG131" s="327">
        <f>IF(D131="W"&amp;AH131,0,1)</f>
        <v>0</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760</v>
      </c>
      <c r="B132" s="16" t="s">
        <v>761</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722</v>
      </c>
      <c r="M132" s="16" t="str">
        <f t="shared" si="323"/>
        <v>W93</v>
      </c>
      <c r="N132" s="16" t="str">
        <f t="shared" si="323"/>
        <v>W94</v>
      </c>
      <c r="O132" s="16"/>
      <c r="P132" s="16"/>
      <c r="Q132" s="16"/>
      <c r="R132" s="16"/>
      <c r="S132" s="16"/>
      <c r="T132" s="16"/>
      <c r="U132" s="16"/>
      <c r="V132" s="17"/>
      <c r="W132" s="662"/>
      <c r="X132" s="24">
        <f ca="1">Horarios!C132</f>
        <v>46213.875</v>
      </c>
      <c r="Y132" s="25">
        <f ca="1">Horarios!C132</f>
        <v>46213.875</v>
      </c>
      <c r="Z132" s="282">
        <f t="shared" si="324"/>
        <v>98</v>
      </c>
      <c r="AA132" s="88" t="str">
        <f t="shared" si="325"/>
        <v>W93</v>
      </c>
      <c r="AB132" s="89"/>
      <c r="AC132" s="99"/>
      <c r="AD132" s="99"/>
      <c r="AE132" s="89"/>
      <c r="AF132" s="116" t="str">
        <f>+INDEX($N$101:$N$147,MATCH(AH132,$J$101:$J$147,0))</f>
        <v>W94</v>
      </c>
      <c r="AG132" s="327">
        <f>IF(D132="W"&amp;AH132,0,1)</f>
        <v>0</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762</v>
      </c>
      <c r="B133" s="16" t="s">
        <v>763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723</v>
      </c>
      <c r="M133" s="16" t="str">
        <f t="shared" si="323"/>
        <v>W91</v>
      </c>
      <c r="N133" s="16" t="str">
        <f t="shared" si="323"/>
        <v>W92</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si="325"/>
        <v>W91</v>
      </c>
      <c r="AB133" s="89"/>
      <c r="AC133" s="99"/>
      <c r="AD133" s="99"/>
      <c r="AE133" s="89"/>
      <c r="AF133" s="116" t="str">
        <f>+INDEX($N$101:$N$147,MATCH(AH133,$J$101:$J$147,0))</f>
        <v>W92</v>
      </c>
      <c r="AG133" s="327">
        <f>IF(D133="W"&amp;AH133,0,1)</f>
        <v>0</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764</v>
      </c>
      <c r="B134" s="16" t="s">
        <v>765</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724</v>
      </c>
      <c r="M134" s="16" t="str">
        <f t="shared" si="323"/>
        <v>W95</v>
      </c>
      <c r="N134" s="16" t="str">
        <f t="shared" si="323"/>
        <v>W96</v>
      </c>
      <c r="O134" s="16"/>
      <c r="P134" s="16"/>
      <c r="Q134" s="16"/>
      <c r="R134" s="16"/>
      <c r="S134" s="16"/>
      <c r="T134" s="16"/>
      <c r="U134" s="16"/>
      <c r="V134" s="17"/>
      <c r="W134" s="663"/>
      <c r="X134" s="28">
        <f ca="1">Horarios!C134</f>
        <v>46215.125</v>
      </c>
      <c r="Y134" s="29">
        <f ca="1">Horarios!C134</f>
        <v>46215.125</v>
      </c>
      <c r="Z134" s="283">
        <f t="shared" si="324"/>
        <v>100</v>
      </c>
      <c r="AA134" s="93" t="str">
        <f t="shared" si="325"/>
        <v>W95</v>
      </c>
      <c r="AB134" s="94"/>
      <c r="AC134" s="100"/>
      <c r="AD134" s="100"/>
      <c r="AE134" s="94"/>
      <c r="AF134" s="117" t="str">
        <f>+INDEX($N$101:$N$147,MATCH(AH134,$J$101:$J$147,0))</f>
        <v>W96</v>
      </c>
      <c r="AG134" s="327">
        <f>IF(D134="W"&amp;AH134,0,1)</f>
        <v>0</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766</v>
      </c>
      <c r="B138" s="16" t="s">
        <v>767</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725</v>
      </c>
      <c r="M138" s="16" t="str">
        <f>+INDEX($D$101:$D$147,MATCH(E138,$AH$101:$AH$147,0))</f>
        <v>W97</v>
      </c>
      <c r="N138" s="16" t="str">
        <f>+INDEX($D$101:$D$147,MATCH(F138,$AH$101:$AH$147,0))</f>
        <v>W98</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si="327">+INDEX($M$101:$M$147,MATCH(AH138,$J$101:$J$147,0))</f>
        <v>W97</v>
      </c>
      <c r="AB138" s="89"/>
      <c r="AC138" s="101"/>
      <c r="AD138" s="101"/>
      <c r="AE138" s="89"/>
      <c r="AF138" s="116" t="str">
        <f>+INDEX($N$101:$N$147,MATCH(AH138,$J$101:$J$147,0))</f>
        <v>W98</v>
      </c>
      <c r="AG138" s="327">
        <f>IF(D138="W"&amp;AH138,0,1)</f>
        <v>0</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768</v>
      </c>
      <c r="B139" s="16" t="s">
        <v>769</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726</v>
      </c>
      <c r="M139" s="16" t="str">
        <f>+INDEX($D$101:$D$147,MATCH(E139,$AH$101:$AH$147,0))</f>
        <v>W99</v>
      </c>
      <c r="N139" s="16" t="str">
        <f>+INDEX($D$101:$D$147,MATCH(F139,$AH$101:$AH$147,0))</f>
        <v>W100</v>
      </c>
      <c r="O139" s="16"/>
      <c r="P139" s="16"/>
      <c r="Q139" s="16"/>
      <c r="R139" s="16"/>
      <c r="S139" s="16"/>
      <c r="T139" s="16"/>
      <c r="U139" s="16"/>
      <c r="V139" s="17"/>
      <c r="W139" s="665"/>
      <c r="X139" s="123">
        <f ca="1">Horarios!C139</f>
        <v>46218.875</v>
      </c>
      <c r="Y139" s="124">
        <f ca="1">Horarios!C139</f>
        <v>46218.875</v>
      </c>
      <c r="Z139" s="284">
        <f t="shared" si="326"/>
        <v>102</v>
      </c>
      <c r="AA139" s="139" t="str">
        <f t="shared" si="327"/>
        <v>W99</v>
      </c>
      <c r="AB139" s="140"/>
      <c r="AC139" s="100"/>
      <c r="AD139" s="100"/>
      <c r="AE139" s="140"/>
      <c r="AF139" s="141" t="str">
        <f>+INDEX($N$101:$N$147,MATCH(AH139,$J$101:$J$147,0))</f>
        <v>W100</v>
      </c>
      <c r="AG139" s="327">
        <f>IF(D139="W"&amp;AH139,0,1)</f>
        <v>0</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770</v>
      </c>
      <c r="B143" s="16" t="s">
        <v>771</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727</v>
      </c>
      <c r="M143" s="16" t="str">
        <f>+INDEX($D$101:$D$147,MATCH(E143,$AH$101:$AH$147,0))</f>
        <v>W101</v>
      </c>
      <c r="N143" s="16" t="str">
        <f>+INDEX($D$101:$D$147,MATCH(F143,$AH$101:$AH$147,0))</f>
        <v>W102</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7">
        <f>IF(D143="W"&amp;AH143,0,1)</f>
        <v>0</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772</v>
      </c>
      <c r="B147" s="16" t="s">
        <v>773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728</v>
      </c>
      <c r="M147" s="16" t="str">
        <f>+INDEX($D$101:$D$147,MATCH(E147,$AH$101:$AH$147,0))</f>
        <v>W101</v>
      </c>
      <c r="N147" s="16" t="str">
        <f>+INDEX($D$101:$D$147,MATCH(F147,$AH$101:$AH$147,0))</f>
        <v>W102</v>
      </c>
      <c r="O147" s="16"/>
      <c r="P147" s="16"/>
      <c r="Q147" s="16"/>
      <c r="R147" s="16"/>
      <c r="S147" s="16"/>
      <c r="T147" s="16"/>
      <c r="U147" s="16"/>
      <c r="V147" s="17"/>
      <c r="W147" s="143" t="s">
        <v>4</v>
      </c>
      <c r="X147" s="123">
        <f ca="1">Horarios!C147</f>
        <v>46222.875</v>
      </c>
      <c r="Y147" s="124">
        <f ca="1">Horarios!C147</f>
        <v>46222.875</v>
      </c>
      <c r="Z147" s="285">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7">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7">
        <f>IF(AA150="WF",0,1)</f>
        <v>0</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7">
        <f>IF(AA151="LF",0,1)</f>
        <v>0</v>
      </c>
      <c r="AH151" s="184"/>
      <c r="AI151" s="184"/>
      <c r="AJ151" s="673" t="str">
        <f>IF(SUM(COUNTIF(AG4:AG97,0),COUNTIF(AG101:AG160,0)&gt;0),AL148,AL149)</f>
        <v>PORRA INCOMPLETA:</v>
      </c>
      <c r="AK151" s="674"/>
      <c r="AL151" s="674"/>
      <c r="AM151" s="674"/>
      <c r="AN151" s="674"/>
      <c r="AO151" s="674"/>
      <c r="AP151" s="674"/>
      <c r="AQ151" s="674"/>
      <c r="AR151" s="674"/>
      <c r="AS151" s="674"/>
      <c r="AT151" s="674"/>
      <c r="AU151" s="67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7">
        <f>IF(AA152="W34",0,1)</f>
        <v>0</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98"/>
      <c r="AC154" s="398"/>
      <c r="AD154" s="398"/>
      <c r="AE154" s="398"/>
      <c r="AF154" s="399"/>
      <c r="AG154" s="327">
        <f>IF(AA154=$AH$154,0,IF(AA154="",0,1))</f>
        <v>0</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40" t="str">
        <f>IF(SUM(COUNTIF(AG4:AG97,0),COUNTIF(AG101:AG160,0)&gt;0),AM148,AM149)</f>
        <v>Aún falta alguna apuesta</v>
      </c>
      <c r="AK155" s="641"/>
      <c r="AL155" s="641"/>
      <c r="AM155" s="641"/>
      <c r="AN155" s="641"/>
      <c r="AO155" s="641"/>
      <c r="AP155" s="641"/>
      <c r="AQ155" s="641"/>
      <c r="AR155" s="641"/>
      <c r="AS155" s="641"/>
      <c r="AT155" s="641"/>
      <c r="AU155" s="642"/>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98"/>
      <c r="AC158" s="398"/>
      <c r="AD158" s="398"/>
      <c r="AE158" s="398"/>
      <c r="AF158" s="399"/>
      <c r="AG158" s="327">
        <f>IF(AA158=$AH$154,0,IF(AA158="",0,1))</f>
        <v>0</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1313</v>
      </c>
      <c r="AG162" s="152"/>
      <c r="AH162" s="184"/>
      <c r="AI162" s="184"/>
      <c r="AJ162" s="145"/>
      <c r="AK162" s="145"/>
      <c r="AL162" s="225" t="s">
        <v>1332</v>
      </c>
      <c r="AM162" s="223"/>
      <c r="AN162" s="224"/>
      <c r="AO162" s="638" t="str">
        <f>+Idiomas!D12</f>
        <v>Donar</v>
      </c>
      <c r="AP162" s="639"/>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x14ac:dyDescent="0.3">
      <c r="A2" s="290"/>
      <c r="B2" s="291"/>
      <c r="C2" s="291"/>
      <c r="D2" s="368"/>
      <c r="E2" s="701"/>
      <c r="F2" s="701"/>
      <c r="G2" s="701"/>
      <c r="H2" s="701"/>
      <c r="I2" s="701"/>
      <c r="J2" s="701"/>
      <c r="K2" s="701"/>
      <c r="L2" s="701"/>
      <c r="M2" s="701"/>
      <c r="N2" s="701"/>
    </row>
    <row r="3" spans="1:14" ht="35" customHeight="1" thickBot="1" x14ac:dyDescent="0.3">
      <c r="A3" s="290"/>
      <c r="B3" s="294" t="str">
        <f>HYPERLINK(Idiomas!D10,Idiomas!D9)</f>
        <v>▼ Descargar Excel Administrador Porra ▼</v>
      </c>
      <c r="C3" s="291"/>
      <c r="D3" s="368"/>
      <c r="E3" s="704" t="str">
        <f>Idiomas!D107</f>
        <v>·Si haceis todo el Mundial de golpe, incluido el predictor, copiar de la C5 a la C258 y pegar valores en la plantilla de Administrador.</v>
      </c>
      <c r="F3" s="704"/>
      <c r="G3" s="704"/>
      <c r="H3" s="704"/>
      <c r="I3" s="704"/>
      <c r="J3" s="704"/>
      <c r="K3" s="704"/>
      <c r="L3" s="704"/>
      <c r="M3" s="704"/>
      <c r="N3" s="705"/>
    </row>
    <row r="4" spans="1:14" ht="45" customHeight="1" x14ac:dyDescent="0.25">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x14ac:dyDescent="0.2">
      <c r="A5" s="353"/>
      <c r="B5" s="354" t="str">
        <f>Idiomas!D125</f>
        <v>FASE DE GRUPOS</v>
      </c>
      <c r="C5" s="346" t="str">
        <f>Home!C10</f>
        <v>Nombre</v>
      </c>
      <c r="E5" s="706" t="str">
        <f>Idiomas!D109</f>
        <v>·Si haceis jornada a jornada seguir las instrucciones de cada jornada</v>
      </c>
      <c r="F5" s="706"/>
      <c r="G5" s="706"/>
      <c r="H5" s="706"/>
      <c r="I5" s="706"/>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0|-</v>
      </c>
      <c r="D7" s="697"/>
      <c r="E7" s="686"/>
      <c r="F7" s="686"/>
      <c r="G7" s="686"/>
      <c r="H7" s="686"/>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0|-</v>
      </c>
      <c r="D8" s="697"/>
      <c r="E8" s="686"/>
      <c r="F8" s="686"/>
      <c r="G8" s="686"/>
      <c r="H8" s="686"/>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0|-</v>
      </c>
      <c r="D9" s="697"/>
      <c r="E9" s="686"/>
      <c r="F9" s="686"/>
      <c r="G9" s="686"/>
      <c r="H9" s="686"/>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0|-</v>
      </c>
      <c r="D10" s="697"/>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0|-</v>
      </c>
      <c r="D11" s="697"/>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0|-</v>
      </c>
      <c r="D12" s="697"/>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0|-</v>
      </c>
      <c r="D13" s="697"/>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0|-</v>
      </c>
      <c r="D14" s="697"/>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0|-</v>
      </c>
      <c r="D15" s="697"/>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0|-</v>
      </c>
      <c r="D16" s="697"/>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0|-</v>
      </c>
      <c r="D17" s="697"/>
      <c r="E17" s="370"/>
      <c r="F17" s="370"/>
      <c r="G17" s="370"/>
      <c r="H17" s="370"/>
      <c r="I17" s="381"/>
      <c r="J17" s="370"/>
      <c r="K17" s="370"/>
      <c r="L17" s="370"/>
      <c r="M17" s="379"/>
      <c r="N17" s="377"/>
    </row>
    <row r="18" spans="1:14" ht="15" customHeight="1" x14ac:dyDescent="0.2">
      <c r="A18" s="355" t="s">
        <v>521</v>
      </c>
      <c r="B18" s="356" t="str">
        <f ca="1">CONCATENATE(WORLDCUP!AA52,"-",WORLDCUP!AF52)</f>
        <v>Bélgica-Egipto</v>
      </c>
      <c r="C18" s="349" t="str">
        <f>CONCATENATE(IF(WORLDCUP!AC52&gt;WORLDCUP!AD52,1,IF(WORLDCUP!AC52&lt;WORLDCUP!AD52,2,IF(AND(WORLDCUP!AC52=WORLDCUP!AD52,WORLDCUP!AC52&lt;&gt;"",WORLDCUP!AD52&lt;&gt;""),"X",0))),"|",WORLDCUP!AC52,"-",WORLDCUP!AD52)</f>
        <v>0|-</v>
      </c>
      <c r="D18" s="697"/>
      <c r="E18" s="370"/>
      <c r="F18" s="370"/>
      <c r="G18" s="370"/>
      <c r="H18" s="370"/>
      <c r="I18" s="381"/>
      <c r="J18" s="370"/>
      <c r="K18" s="370"/>
      <c r="L18" s="370"/>
      <c r="M18" s="379"/>
      <c r="N18" s="377"/>
    </row>
    <row r="19" spans="1:14" ht="15" customHeight="1" x14ac:dyDescent="0.2">
      <c r="A19" s="355" t="s">
        <v>521</v>
      </c>
      <c r="B19" s="356" t="str">
        <f ca="1">CONCATENATE(WORLDCUP!AA53,"-",WORLDCUP!AF53)</f>
        <v>Irán-Nueva Zelanda</v>
      </c>
      <c r="C19" s="349" t="str">
        <f>CONCATENATE(IF(WORLDCUP!AC53&gt;WORLDCUP!AD53,1,IF(WORLDCUP!AC53&lt;WORLDCUP!AD53,2,IF(AND(WORLDCUP!AC53=WORLDCUP!AD53,WORLDCUP!AC53&lt;&gt;"",WORLDCUP!AD53&lt;&gt;""),"X",0))),"|",WORLDCUP!AC53,"-",WORLDCUP!AD53)</f>
        <v>0|-</v>
      </c>
      <c r="D19" s="697"/>
      <c r="E19" s="370"/>
      <c r="F19" s="370"/>
      <c r="G19" s="370"/>
      <c r="H19" s="370"/>
      <c r="I19" s="381"/>
      <c r="J19" s="370"/>
      <c r="K19" s="370"/>
      <c r="L19" s="370"/>
      <c r="M19" s="379"/>
      <c r="N19" s="377"/>
    </row>
    <row r="20" spans="1:14" ht="15" customHeight="1" x14ac:dyDescent="0.2">
      <c r="A20" s="38" t="s">
        <v>523</v>
      </c>
      <c r="B20" s="357" t="str">
        <f ca="1">CONCATENATE(WORLDCUP!AA60,"-",WORLDCUP!AF60)</f>
        <v>España-Cabo Verde</v>
      </c>
      <c r="C20" s="349" t="str">
        <f>CONCATENATE(IF(WORLDCUP!AC60&gt;WORLDCUP!AD60,1,IF(WORLDCUP!AC60&lt;WORLDCUP!AD60,2,IF(AND(WORLDCUP!AC60=WORLDCUP!AD60,WORLDCUP!AC60&lt;&gt;"",WORLDCUP!AD60&lt;&gt;""),"X",0))),"|",WORLDCUP!AC60,"-",WORLDCUP!AD60)</f>
        <v>0|-</v>
      </c>
      <c r="D20" s="697"/>
      <c r="E20" s="370"/>
      <c r="F20" s="370"/>
      <c r="G20" s="370"/>
      <c r="H20" s="370"/>
      <c r="I20" s="381"/>
      <c r="J20" s="370"/>
      <c r="K20" s="370"/>
      <c r="L20" s="370"/>
      <c r="M20" s="379"/>
      <c r="N20" s="377"/>
    </row>
    <row r="21" spans="1:14" ht="15" customHeight="1" x14ac:dyDescent="0.2">
      <c r="A21" s="38" t="s">
        <v>523</v>
      </c>
      <c r="B21" s="357" t="str">
        <f ca="1">CONCATENATE(WORLDCUP!AA61,"-",WORLDCUP!AF61)</f>
        <v>Arabia Saudita-Uruguay</v>
      </c>
      <c r="C21" s="349" t="str">
        <f>CONCATENATE(IF(WORLDCUP!AC61&gt;WORLDCUP!AD61,1,IF(WORLDCUP!AC61&lt;WORLDCUP!AD61,2,IF(AND(WORLDCUP!AC61=WORLDCUP!AD61,WORLDCUP!AC61&lt;&gt;"",WORLDCUP!AD61&lt;&gt;""),"X",0))),"|",WORLDCUP!AC61,"-",WORLDCUP!AD61)</f>
        <v>0|-</v>
      </c>
      <c r="D21" s="697"/>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0|-</v>
      </c>
      <c r="D22" s="697"/>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0|-</v>
      </c>
      <c r="D23" s="697"/>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0|-</v>
      </c>
      <c r="D24" s="697"/>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0|-</v>
      </c>
      <c r="D25" s="697"/>
      <c r="E25" s="370"/>
      <c r="F25" s="370"/>
      <c r="G25" s="370"/>
      <c r="H25" s="370"/>
      <c r="I25" s="381"/>
      <c r="J25" s="370"/>
      <c r="K25" s="370"/>
      <c r="L25" s="370"/>
      <c r="M25" s="379"/>
      <c r="N25" s="377"/>
    </row>
    <row r="26" spans="1:14" ht="15" customHeight="1" x14ac:dyDescent="0.2">
      <c r="A26" s="355" t="s">
        <v>526</v>
      </c>
      <c r="B26" s="356" t="str">
        <f ca="1">CONCATENATE(WORLDCUP!AA84,"-",WORLDCUP!AF84)</f>
        <v>Portugal-RD Congo</v>
      </c>
      <c r="C26" s="349" t="str">
        <f>CONCATENATE(IF(WORLDCUP!AC84&gt;WORLDCUP!AD84,1,IF(WORLDCUP!AC84&lt;WORLDCUP!AD84,2,IF(AND(WORLDCUP!AC84=WORLDCUP!AD84,WORLDCUP!AC84&lt;&gt;"",WORLDCUP!AD84&lt;&gt;""),"X",0))),"|",WORLDCUP!AC84,"-",WORLDCUP!AD84)</f>
        <v>0|-</v>
      </c>
      <c r="D26" s="697"/>
      <c r="E26" s="370"/>
      <c r="F26" s="370"/>
      <c r="G26" s="370"/>
      <c r="H26" s="370"/>
      <c r="I26" s="381"/>
      <c r="J26" s="370"/>
      <c r="K26" s="370"/>
      <c r="L26" s="370"/>
      <c r="M26" s="379"/>
      <c r="N26" s="377"/>
    </row>
    <row r="27" spans="1:14" ht="15" customHeight="1" x14ac:dyDescent="0.2">
      <c r="A27" s="355" t="s">
        <v>526</v>
      </c>
      <c r="B27" s="356" t="str">
        <f ca="1">CONCATENATE(WORLDCUP!AA85,"-",WORLDCUP!AF85)</f>
        <v>Uzbekistán-Colombia</v>
      </c>
      <c r="C27" s="349" t="str">
        <f>CONCATENATE(IF(WORLDCUP!AC85&gt;WORLDCUP!AD85,1,IF(WORLDCUP!AC85&lt;WORLDCUP!AD85,2,IF(AND(WORLDCUP!AC85=WORLDCUP!AD85,WORLDCUP!AC85&lt;&gt;"",WORLDCUP!AD85&lt;&gt;""),"X",0))),"|",WORLDCUP!AC85,"-",WORLDCUP!AD85)</f>
        <v>0|-</v>
      </c>
      <c r="D27" s="697"/>
      <c r="E27" s="370"/>
      <c r="F27" s="370"/>
      <c r="G27" s="370"/>
      <c r="H27" s="370"/>
      <c r="I27" s="381"/>
      <c r="J27" s="370"/>
      <c r="K27" s="370"/>
      <c r="L27" s="370"/>
      <c r="M27" s="379"/>
      <c r="N27" s="377"/>
    </row>
    <row r="28" spans="1:14" ht="15" customHeight="1" x14ac:dyDescent="0.2">
      <c r="A28" s="38" t="s">
        <v>1210</v>
      </c>
      <c r="B28" s="357" t="str">
        <f ca="1">CONCATENATE(WORLDCUP!AA92,"-",WORLDCUP!AF92)</f>
        <v>Inglaterra-Croacia</v>
      </c>
      <c r="C28" s="349" t="str">
        <f>CONCATENATE(IF(WORLDCUP!AC92&gt;WORLDCUP!AD92,1,IF(WORLDCUP!AC92&lt;WORLDCUP!AD92,2,IF(AND(WORLDCUP!AC92=WORLDCUP!AD92,WORLDCUP!AC92&lt;&gt;"",WORLDCUP!AD92&lt;&gt;""),"X",0))),"|",WORLDCUP!AC92,"-",WORLDCUP!AD92)</f>
        <v>0|-</v>
      </c>
      <c r="D28" s="697"/>
      <c r="E28" s="370"/>
      <c r="F28" s="370"/>
      <c r="G28" s="370"/>
      <c r="H28" s="370"/>
      <c r="I28" s="381"/>
      <c r="J28" s="370"/>
      <c r="K28" s="370"/>
      <c r="L28" s="370"/>
      <c r="M28" s="379"/>
      <c r="N28" s="377"/>
    </row>
    <row r="29" spans="1:14" ht="15" customHeight="1" x14ac:dyDescent="0.2">
      <c r="A29" s="38" t="s">
        <v>1210</v>
      </c>
      <c r="B29" s="357" t="str">
        <f ca="1">CONCATENATE(WORLDCUP!AA93,"-",WORLDCUP!AF93)</f>
        <v>Ghana-Panamá</v>
      </c>
      <c r="C29" s="349" t="str">
        <f>CONCATENATE(IF(WORLDCUP!AC93&gt;WORLDCUP!AD93,1,IF(WORLDCUP!AC93&lt;WORLDCUP!AD93,2,IF(AND(WORLDCUP!AC93=WORLDCUP!AD93,WORLDCUP!AC93&lt;&gt;"",WORLDCUP!AD93&lt;&gt;""),"X",0))),"|",WORLDCUP!AC93,"-",WORLDCUP!AD93)</f>
        <v>0|-</v>
      </c>
      <c r="D29" s="698"/>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0|-</v>
      </c>
      <c r="D31" s="699"/>
      <c r="E31" s="686"/>
      <c r="F31" s="686"/>
      <c r="G31" s="686"/>
      <c r="H31" s="686"/>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0|-</v>
      </c>
      <c r="D32" s="699"/>
      <c r="E32" s="686"/>
      <c r="F32" s="686"/>
      <c r="G32" s="686"/>
      <c r="H32" s="686"/>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0|-</v>
      </c>
      <c r="D33" s="699"/>
      <c r="E33" s="686"/>
      <c r="F33" s="686"/>
      <c r="G33" s="686"/>
      <c r="H33" s="686"/>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0|-</v>
      </c>
      <c r="D34" s="699"/>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0|-</v>
      </c>
      <c r="D35" s="699"/>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0|-</v>
      </c>
      <c r="D36" s="699"/>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0|-</v>
      </c>
      <c r="D37" s="699"/>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0|-</v>
      </c>
      <c r="D38" s="699"/>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0|-</v>
      </c>
      <c r="D39" s="699"/>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0|-</v>
      </c>
      <c r="D40" s="699"/>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0|-</v>
      </c>
      <c r="D41" s="699"/>
      <c r="E41" s="370"/>
      <c r="F41" s="370"/>
      <c r="G41" s="370"/>
      <c r="H41" s="370"/>
      <c r="I41" s="381"/>
      <c r="J41" s="370"/>
      <c r="K41" s="370"/>
      <c r="L41" s="370"/>
      <c r="M41" s="379"/>
      <c r="N41" s="377"/>
    </row>
    <row r="42" spans="1:14" ht="15" customHeight="1" x14ac:dyDescent="0.2">
      <c r="A42" s="355" t="s">
        <v>522</v>
      </c>
      <c r="B42" s="356" t="str">
        <f ca="1">CONCATENATE(WORLDCUP!AA54,"-",WORLDCUP!AF54)</f>
        <v>Bélgica-Irán</v>
      </c>
      <c r="C42" s="349" t="str">
        <f>CONCATENATE(IF(WORLDCUP!AC54&gt;WORLDCUP!AD54,1,IF(WORLDCUP!AC54&lt;WORLDCUP!AD54,2,IF(AND(WORLDCUP!AC54=WORLDCUP!AD54,WORLDCUP!AC54&lt;&gt;"",WORLDCUP!AD54&lt;&gt;""),"X",0))),"|",WORLDCUP!AC54,"-",WORLDCUP!AD54)</f>
        <v>0|-</v>
      </c>
      <c r="D42" s="699"/>
      <c r="E42" s="370"/>
      <c r="F42" s="370"/>
      <c r="G42" s="370"/>
      <c r="H42" s="370"/>
      <c r="I42" s="381"/>
      <c r="J42" s="370"/>
      <c r="K42" s="370"/>
      <c r="L42" s="370"/>
      <c r="M42" s="379"/>
      <c r="N42" s="377"/>
    </row>
    <row r="43" spans="1:14" ht="15" customHeight="1" x14ac:dyDescent="0.2">
      <c r="A43" s="355" t="s">
        <v>522</v>
      </c>
      <c r="B43" s="356" t="str">
        <f ca="1">CONCATENATE(WORLDCUP!AA55,"-",WORLDCUP!AF55)</f>
        <v>Nueva Zelanda-Egipto</v>
      </c>
      <c r="C43" s="349" t="str">
        <f>CONCATENATE(IF(WORLDCUP!AC55&gt;WORLDCUP!AD55,1,IF(WORLDCUP!AC55&lt;WORLDCUP!AD55,2,IF(AND(WORLDCUP!AC55=WORLDCUP!AD55,WORLDCUP!AC55&lt;&gt;"",WORLDCUP!AD55&lt;&gt;""),"X",0))),"|",WORLDCUP!AC55,"-",WORLDCUP!AD55)</f>
        <v>0|-</v>
      </c>
      <c r="D43" s="699"/>
      <c r="E43" s="370"/>
      <c r="F43" s="370"/>
      <c r="G43" s="370"/>
      <c r="H43" s="370"/>
      <c r="I43" s="381"/>
      <c r="J43" s="370"/>
      <c r="K43" s="370"/>
      <c r="L43" s="370"/>
      <c r="M43" s="379"/>
      <c r="N43" s="377"/>
    </row>
    <row r="44" spans="1:14" ht="15" customHeight="1" x14ac:dyDescent="0.2">
      <c r="A44" s="38" t="s">
        <v>524</v>
      </c>
      <c r="B44" s="357" t="str">
        <f ca="1">CONCATENATE(WORLDCUP!AA62,"-",WORLDCUP!AF62)</f>
        <v>España-Arabia Saudita</v>
      </c>
      <c r="C44" s="349" t="str">
        <f>CONCATENATE(IF(WORLDCUP!AC62&gt;WORLDCUP!AD62,1,IF(WORLDCUP!AC62&lt;WORLDCUP!AD62,2,IF(AND(WORLDCUP!AC62=WORLDCUP!AD62,WORLDCUP!AC62&lt;&gt;"",WORLDCUP!AD62&lt;&gt;""),"X",0))),"|",WORLDCUP!AC62,"-",WORLDCUP!AD62)</f>
        <v>0|-</v>
      </c>
      <c r="D44" s="699"/>
      <c r="E44" s="370"/>
      <c r="F44" s="370"/>
      <c r="G44" s="370"/>
      <c r="H44" s="370"/>
      <c r="I44" s="381"/>
      <c r="J44" s="370"/>
      <c r="K44" s="370"/>
      <c r="L44" s="370"/>
      <c r="M44" s="379"/>
      <c r="N44" s="377"/>
    </row>
    <row r="45" spans="1:14" ht="15" customHeight="1" x14ac:dyDescent="0.2">
      <c r="A45" s="38" t="s">
        <v>524</v>
      </c>
      <c r="B45" s="357" t="str">
        <f ca="1">CONCATENATE(WORLDCUP!AA63,"-",WORLDCUP!AF63)</f>
        <v>Uruguay-Cabo Verde</v>
      </c>
      <c r="C45" s="349" t="str">
        <f>CONCATENATE(IF(WORLDCUP!AC63&gt;WORLDCUP!AD63,1,IF(WORLDCUP!AC63&lt;WORLDCUP!AD63,2,IF(AND(WORLDCUP!AC63=WORLDCUP!AD63,WORLDCUP!AC63&lt;&gt;"",WORLDCUP!AD63&lt;&gt;""),"X",0))),"|",WORLDCUP!AC63,"-",WORLDCUP!AD63)</f>
        <v>0|-</v>
      </c>
      <c r="D45" s="699"/>
      <c r="E45" s="370"/>
      <c r="F45" s="370"/>
      <c r="G45" s="370"/>
      <c r="H45" s="370"/>
      <c r="I45" s="381"/>
      <c r="J45" s="370"/>
      <c r="K45" s="370"/>
      <c r="L45" s="370"/>
      <c r="M45" s="379"/>
      <c r="N45" s="377"/>
    </row>
    <row r="46" spans="1:14" ht="15" customHeight="1" x14ac:dyDescent="0.2">
      <c r="A46" s="355" t="s">
        <v>525</v>
      </c>
      <c r="B46" s="356" t="str">
        <f ca="1">CONCATENATE(WORLDCUP!AA70,"-",WORLDCUP!AF70)</f>
        <v>Francia-Irak</v>
      </c>
      <c r="C46" s="349" t="str">
        <f>CONCATENATE(IF(WORLDCUP!AC70&gt;WORLDCUP!AD70,1,IF(WORLDCUP!AC70&lt;WORLDCUP!AD70,2,IF(AND(WORLDCUP!AC70=WORLDCUP!AD70,WORLDCUP!AC70&lt;&gt;"",WORLDCUP!AD70&lt;&gt;""),"X",0))),"|",WORLDCUP!AC70,"-",WORLDCUP!AD70)</f>
        <v>0|-</v>
      </c>
      <c r="D46" s="699"/>
      <c r="E46" s="370"/>
      <c r="F46" s="370"/>
      <c r="G46" s="370"/>
      <c r="H46" s="370"/>
      <c r="I46" s="381"/>
      <c r="J46" s="370"/>
      <c r="K46" s="370"/>
      <c r="L46" s="370"/>
      <c r="M46" s="379"/>
      <c r="N46" s="377"/>
    </row>
    <row r="47" spans="1:14" ht="15" customHeight="1" x14ac:dyDescent="0.2">
      <c r="A47" s="355" t="s">
        <v>525</v>
      </c>
      <c r="B47" s="356" t="str">
        <f ca="1">CONCATENATE(WORLDCUP!AA71,"-",WORLDCUP!AF71)</f>
        <v>Noruega-Senegal</v>
      </c>
      <c r="C47" s="349" t="str">
        <f>CONCATENATE(IF(WORLDCUP!AC71&gt;WORLDCUP!AD71,1,IF(WORLDCUP!AC71&lt;WORLDCUP!AD71,2,IF(AND(WORLDCUP!AC71=WORLDCUP!AD71,WORLDCUP!AC71&lt;&gt;"",WORLDCUP!AD71&lt;&gt;""),"X",0))),"|",WORLDCUP!AC71,"-",WORLDCUP!AD71)</f>
        <v>0|-</v>
      </c>
      <c r="D47" s="699"/>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0|-</v>
      </c>
      <c r="D48" s="699"/>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0|-</v>
      </c>
      <c r="D49" s="699"/>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0|-</v>
      </c>
      <c r="D50" s="699"/>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0|-</v>
      </c>
      <c r="D51" s="699"/>
      <c r="E51" s="370"/>
      <c r="F51" s="370"/>
      <c r="G51" s="370"/>
      <c r="H51" s="370"/>
      <c r="I51" s="381"/>
      <c r="J51" s="370"/>
      <c r="K51" s="370"/>
      <c r="L51" s="370"/>
      <c r="M51" s="379"/>
      <c r="N51" s="377"/>
    </row>
    <row r="52" spans="1:14" ht="15" customHeight="1" x14ac:dyDescent="0.2">
      <c r="A52" s="38" t="s">
        <v>1211</v>
      </c>
      <c r="B52" s="357" t="str">
        <f ca="1">CONCATENATE(WORLDCUP!AA94,"-",WORLDCUP!AF94)</f>
        <v>Inglaterra-Ghana</v>
      </c>
      <c r="C52" s="349" t="str">
        <f>CONCATENATE(IF(WORLDCUP!AC94&gt;WORLDCUP!AD94,1,IF(WORLDCUP!AC94&lt;WORLDCUP!AD94,2,IF(AND(WORLDCUP!AC94=WORLDCUP!AD94,WORLDCUP!AC94&lt;&gt;"",WORLDCUP!AD94&lt;&gt;""),"X",0))),"|",WORLDCUP!AC94,"-",WORLDCUP!AD94)</f>
        <v>0|-</v>
      </c>
      <c r="D52" s="699"/>
      <c r="E52" s="370"/>
      <c r="F52" s="370"/>
      <c r="G52" s="370"/>
      <c r="H52" s="370"/>
      <c r="I52" s="381"/>
      <c r="J52" s="370"/>
      <c r="K52" s="370"/>
      <c r="L52" s="370"/>
      <c r="M52" s="379"/>
      <c r="N52" s="377"/>
    </row>
    <row r="53" spans="1:14" ht="15" customHeight="1" x14ac:dyDescent="0.2">
      <c r="A53" s="38" t="s">
        <v>1211</v>
      </c>
      <c r="B53" s="357" t="str">
        <f ca="1">CONCATENATE(WORLDCUP!AA95,"-",WORLDCUP!AF95)</f>
        <v>Panamá-Croacia</v>
      </c>
      <c r="C53" s="349" t="str">
        <f>CONCATENATE(IF(WORLDCUP!AC95&gt;WORLDCUP!AD95,1,IF(WORLDCUP!AC95&lt;WORLDCUP!AD95,2,IF(AND(WORLDCUP!AC95=WORLDCUP!AD95,WORLDCUP!AC95&lt;&gt;"",WORLDCUP!AD95&lt;&gt;""),"X",0))),"|",WORLDCUP!AC95,"-",WORLDCUP!AD95)</f>
        <v>0|-</v>
      </c>
      <c r="D53" s="700"/>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0|-</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0|-</v>
      </c>
      <c r="D55" s="693"/>
      <c r="E55" s="686"/>
      <c r="F55" s="686"/>
      <c r="G55" s="686"/>
      <c r="H55" s="686"/>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0|-</v>
      </c>
      <c r="D56" s="693"/>
      <c r="E56" s="686"/>
      <c r="F56" s="686"/>
      <c r="G56" s="686"/>
      <c r="H56" s="686"/>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0|-</v>
      </c>
      <c r="D57" s="693"/>
      <c r="E57" s="686"/>
      <c r="F57" s="686"/>
      <c r="G57" s="686"/>
      <c r="H57" s="686"/>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0|-</v>
      </c>
      <c r="D58" s="693"/>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0|-</v>
      </c>
      <c r="D59" s="693"/>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0|-</v>
      </c>
      <c r="D60" s="693"/>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0|-</v>
      </c>
      <c r="D61" s="693"/>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0|-</v>
      </c>
      <c r="D62" s="693"/>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0|-</v>
      </c>
      <c r="D63" s="693"/>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0|-</v>
      </c>
      <c r="D64" s="693"/>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0|-</v>
      </c>
      <c r="D65" s="693"/>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0|-</v>
      </c>
      <c r="D66" s="693"/>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0|-</v>
      </c>
      <c r="D67" s="693"/>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0|-</v>
      </c>
      <c r="D68" s="693"/>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0|-</v>
      </c>
      <c r="D69" s="693"/>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0|-</v>
      </c>
      <c r="D70" s="693"/>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0|-</v>
      </c>
      <c r="D71" s="693"/>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0|-</v>
      </c>
      <c r="D72" s="693"/>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0|-</v>
      </c>
      <c r="D73" s="693"/>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0|-</v>
      </c>
      <c r="D74" s="693"/>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0|-</v>
      </c>
      <c r="D75" s="693"/>
      <c r="E75" s="370"/>
      <c r="F75" s="370"/>
      <c r="G75" s="370"/>
      <c r="H75" s="370"/>
      <c r="I75" s="381"/>
      <c r="J75" s="370"/>
      <c r="K75" s="370"/>
      <c r="L75" s="370"/>
      <c r="M75" s="379"/>
      <c r="N75" s="377"/>
    </row>
    <row r="76" spans="1:14" ht="15" customHeight="1" x14ac:dyDescent="0.2">
      <c r="A76" s="38" t="s">
        <v>1212</v>
      </c>
      <c r="B76" s="357" t="str">
        <f ca="1">CONCATENATE(WORLDCUP!AA96,"-",WORLDCUP!AF96)</f>
        <v>Panamá-Inglaterra</v>
      </c>
      <c r="C76" s="349" t="str">
        <f>CONCATENATE(IF(WORLDCUP!AC96&gt;WORLDCUP!AD96,1,IF(WORLDCUP!AC96&lt;WORLDCUP!AD96,2,IF(AND(WORLDCUP!AC96=WORLDCUP!AD96,WORLDCUP!AC96&lt;&gt;"",WORLDCUP!AD96&lt;&gt;""),"X",0))),"|",WORLDCUP!AC96,"-",WORLDCUP!AD96)</f>
        <v>0|-</v>
      </c>
      <c r="D76" s="693"/>
      <c r="E76" s="370"/>
      <c r="F76" s="370"/>
      <c r="G76" s="370"/>
      <c r="H76" s="370"/>
      <c r="I76" s="381"/>
      <c r="J76" s="370"/>
      <c r="K76" s="370"/>
      <c r="L76" s="370"/>
      <c r="M76" s="379"/>
      <c r="N76" s="377"/>
    </row>
    <row r="77" spans="1:14" ht="15" customHeight="1" x14ac:dyDescent="0.2">
      <c r="A77" s="38" t="s">
        <v>1212</v>
      </c>
      <c r="B77" s="357" t="str">
        <f ca="1">CONCATENATE(WORLDCUP!AA97,"-",WORLDCUP!AF97)</f>
        <v>Croacia-Ghana</v>
      </c>
      <c r="C77" s="349" t="str">
        <f>CONCATENATE(IF(WORLDCUP!AC97&gt;WORLDCUP!AD97,1,IF(WORLDCUP!AC97&lt;WORLDCUP!AD97,2,IF(AND(WORLDCUP!AC97=WORLDCUP!AD97,WORLDCUP!AC97&lt;&gt;"",WORLDCUP!AD97&lt;&gt;""),"X",0))),"|",WORLDCUP!AC97,"-",WORLDCUP!AD97)</f>
        <v>0|-</v>
      </c>
      <c r="D77" s="693"/>
      <c r="E77" s="370"/>
      <c r="F77" s="370"/>
      <c r="G77" s="370"/>
      <c r="H77" s="370"/>
      <c r="I77" s="381"/>
      <c r="J77" s="370"/>
      <c r="K77" s="370"/>
      <c r="L77" s="370"/>
      <c r="M77" s="379"/>
      <c r="N77" s="377"/>
    </row>
    <row r="78" spans="1:14" ht="15" customHeight="1" x14ac:dyDescent="0.2">
      <c r="A78" s="353"/>
      <c r="B78" s="353"/>
      <c r="C78" s="350"/>
      <c r="D78" s="693"/>
      <c r="E78" s="370"/>
      <c r="F78" s="370"/>
      <c r="G78" s="370"/>
      <c r="H78" s="370"/>
      <c r="I78" s="381"/>
      <c r="J78" s="370"/>
      <c r="K78" s="370"/>
      <c r="L78" s="370"/>
      <c r="M78" s="379"/>
      <c r="N78" s="377"/>
    </row>
    <row r="79" spans="1:14" ht="19" customHeight="1" x14ac:dyDescent="0.25">
      <c r="A79" s="353"/>
      <c r="B79" s="358" t="str">
        <f>Idiomas!D126</f>
        <v>POSICIÓN GRUPOS</v>
      </c>
      <c r="C79" s="350"/>
      <c r="D79" s="693"/>
      <c r="E79" s="370"/>
      <c r="F79" s="370"/>
      <c r="G79" s="370"/>
      <c r="H79" s="370"/>
      <c r="I79" s="381"/>
      <c r="J79" s="370"/>
      <c r="K79" s="370"/>
      <c r="L79" s="370"/>
      <c r="M79" s="379"/>
      <c r="N79" s="377"/>
    </row>
    <row r="80" spans="1:14" ht="15" customHeight="1" x14ac:dyDescent="0.2">
      <c r="A80" s="696" t="s">
        <v>0</v>
      </c>
      <c r="B80" s="359" t="str">
        <f>Idiomas!D140</f>
        <v>1º GRUPO A</v>
      </c>
      <c r="C80" s="349" t="str">
        <f ca="1">IF(OR(SUM(WORLDCUP!$AN$6:$AN$9)=12,WORLDCUP!$AJ$99=144),WORLDCUP!AL6,B80)</f>
        <v>1º GRUPO A</v>
      </c>
      <c r="D80" s="693"/>
      <c r="E80" s="370"/>
      <c r="F80" s="370"/>
      <c r="G80" s="370"/>
      <c r="H80" s="370"/>
      <c r="I80" s="381"/>
      <c r="J80" s="370"/>
      <c r="K80" s="370"/>
      <c r="L80" s="370"/>
      <c r="M80" s="379"/>
      <c r="N80" s="377"/>
    </row>
    <row r="81" spans="1:14" ht="15" customHeight="1" x14ac:dyDescent="0.2">
      <c r="A81" s="696"/>
      <c r="B81" s="359" t="str">
        <f>Idiomas!D141</f>
        <v>2º GRUPO A</v>
      </c>
      <c r="C81" s="349" t="str">
        <f ca="1">IF(OR(SUM(WORLDCUP!$AN$6:$AN$9)=12,WORLDCUP!$AJ$99=144),WORLDCUP!AL7,B81)</f>
        <v>2º GRUPO A</v>
      </c>
      <c r="D81" s="693"/>
      <c r="E81" s="370"/>
      <c r="F81" s="370"/>
      <c r="G81" s="370"/>
      <c r="H81" s="370"/>
      <c r="I81" s="381"/>
      <c r="J81" s="370"/>
      <c r="K81" s="370"/>
      <c r="L81" s="370"/>
      <c r="M81" s="379"/>
      <c r="N81" s="377"/>
    </row>
    <row r="82" spans="1:14" ht="15" customHeight="1" x14ac:dyDescent="0.2">
      <c r="A82" s="696"/>
      <c r="B82" s="359" t="str">
        <f>Idiomas!D142</f>
        <v>3º GRUPO A</v>
      </c>
      <c r="C82" s="349" t="str">
        <f ca="1">IF(OR(SUM(WORLDCUP!$AN$6:$AN$9)=12,WORLDCUP!$AJ$99=144),WORLDCUP!AL8,B82)</f>
        <v>3º GRUPO A</v>
      </c>
      <c r="D82" s="693"/>
      <c r="E82" s="370"/>
      <c r="F82" s="370"/>
      <c r="G82" s="370"/>
      <c r="H82" s="370"/>
      <c r="I82" s="381"/>
      <c r="J82" s="370"/>
      <c r="K82" s="370"/>
      <c r="L82" s="370"/>
      <c r="M82" s="379"/>
      <c r="N82" s="377"/>
    </row>
    <row r="83" spans="1:14" ht="15" customHeight="1" x14ac:dyDescent="0.2">
      <c r="A83" s="696"/>
      <c r="B83" s="359" t="str">
        <f>Idiomas!D143</f>
        <v>4º GRUPO A</v>
      </c>
      <c r="C83" s="349" t="str">
        <f ca="1">IF(OR(SUM(WORLDCUP!$AN$6:$AN$9)=12,WORLDCUP!$AJ$99=144),WORLDCUP!AL9,B83)</f>
        <v>4º GRUPO A</v>
      </c>
      <c r="D83" s="693"/>
      <c r="E83" s="370"/>
      <c r="F83" s="370"/>
      <c r="G83" s="370"/>
      <c r="H83" s="370"/>
      <c r="I83" s="381"/>
      <c r="J83" s="370"/>
      <c r="K83" s="370"/>
      <c r="L83" s="370"/>
      <c r="M83" s="379"/>
      <c r="N83" s="377"/>
    </row>
    <row r="84" spans="1:14" ht="15" customHeight="1" x14ac:dyDescent="0.2">
      <c r="A84" s="695" t="s">
        <v>1</v>
      </c>
      <c r="B84" s="357" t="str">
        <f>Idiomas!D144</f>
        <v>1º GRUPO B</v>
      </c>
      <c r="C84" s="349" t="str">
        <f ca="1">IF(OR(SUM(WORLDCUP!$AN$14:$AN$17)=12,WORLDCUP!$AJ$99=144),WORLDCUP!AL14,B84)</f>
        <v>1º GRUPO B</v>
      </c>
      <c r="D84" s="693"/>
      <c r="E84" s="370"/>
      <c r="F84" s="370"/>
      <c r="G84" s="370"/>
      <c r="H84" s="370"/>
      <c r="I84" s="381"/>
      <c r="J84" s="370"/>
      <c r="K84" s="370"/>
      <c r="L84" s="370"/>
      <c r="M84" s="379"/>
      <c r="N84" s="377"/>
    </row>
    <row r="85" spans="1:14" ht="15" customHeight="1" x14ac:dyDescent="0.2">
      <c r="A85" s="695"/>
      <c r="B85" s="357" t="str">
        <f>Idiomas!D145</f>
        <v>2º GRUPO B</v>
      </c>
      <c r="C85" s="349" t="str">
        <f ca="1">IF(OR(SUM(WORLDCUP!$AN$14:$AN$17)=12,WORLDCUP!$AJ$99=144),WORLDCUP!AL15,B85)</f>
        <v>2º GRUPO B</v>
      </c>
      <c r="D85" s="693"/>
      <c r="E85" s="370"/>
      <c r="F85" s="370"/>
      <c r="G85" s="370"/>
      <c r="H85" s="370"/>
      <c r="I85" s="381"/>
      <c r="J85" s="370"/>
      <c r="K85" s="370"/>
      <c r="L85" s="370"/>
      <c r="M85" s="379"/>
      <c r="N85" s="377"/>
    </row>
    <row r="86" spans="1:14" ht="15" customHeight="1" x14ac:dyDescent="0.2">
      <c r="A86" s="695"/>
      <c r="B86" s="357" t="str">
        <f>Idiomas!D146</f>
        <v>3º GRUPO B</v>
      </c>
      <c r="C86" s="349" t="str">
        <f ca="1">IF(OR(SUM(WORLDCUP!$AN$14:$AN$17)=12,WORLDCUP!$AJ$99=144),WORLDCUP!AL16,B86)</f>
        <v>3º GRUPO B</v>
      </c>
      <c r="D86" s="693"/>
      <c r="E86" s="370"/>
      <c r="F86" s="370"/>
      <c r="G86" s="370"/>
      <c r="H86" s="370"/>
      <c r="I86" s="381"/>
      <c r="J86" s="370"/>
      <c r="K86" s="370"/>
      <c r="L86" s="370"/>
      <c r="M86" s="379"/>
      <c r="N86" s="377"/>
    </row>
    <row r="87" spans="1:14" ht="15" customHeight="1" x14ac:dyDescent="0.2">
      <c r="A87" s="695"/>
      <c r="B87" s="357" t="str">
        <f>Idiomas!D147</f>
        <v>4º GRUPO B</v>
      </c>
      <c r="C87" s="349" t="str">
        <f ca="1">IF(OR(SUM(WORLDCUP!$AN$14:$AN$17)=12,WORLDCUP!$AJ$99=144),WORLDCUP!AL17,B87)</f>
        <v>4º GRUPO B</v>
      </c>
      <c r="D87" s="693"/>
      <c r="E87" s="370"/>
      <c r="F87" s="370"/>
      <c r="G87" s="370"/>
      <c r="H87" s="370"/>
      <c r="I87" s="381"/>
      <c r="J87" s="370"/>
      <c r="K87" s="370"/>
      <c r="L87" s="370"/>
      <c r="M87" s="379"/>
      <c r="N87" s="377"/>
    </row>
    <row r="88" spans="1:14" ht="15" customHeight="1" x14ac:dyDescent="0.2">
      <c r="A88" s="696" t="s">
        <v>2</v>
      </c>
      <c r="B88" s="359" t="str">
        <f>Idiomas!D148</f>
        <v>1º GRUPO C</v>
      </c>
      <c r="C88" s="349" t="str">
        <f ca="1">IF(OR(SUM(WORLDCUP!$AN$22:$AN$25)=12,WORLDCUP!$AJ$99=144),WORLDCUP!AL22,B88)</f>
        <v>1º GRUPO C</v>
      </c>
      <c r="D88" s="693"/>
      <c r="E88" s="370"/>
      <c r="F88" s="370"/>
      <c r="G88" s="370"/>
      <c r="H88" s="370"/>
      <c r="I88" s="381"/>
      <c r="J88" s="370"/>
      <c r="K88" s="370"/>
      <c r="L88" s="370"/>
      <c r="M88" s="379"/>
      <c r="N88" s="377"/>
    </row>
    <row r="89" spans="1:14" ht="15" customHeight="1" x14ac:dyDescent="0.2">
      <c r="A89" s="696"/>
      <c r="B89" s="359" t="str">
        <f>Idiomas!D149</f>
        <v>2º GRUPO C</v>
      </c>
      <c r="C89" s="349" t="str">
        <f ca="1">IF(OR(SUM(WORLDCUP!$AN$22:$AN$25)=12,WORLDCUP!$AJ$99=144),WORLDCUP!AL23,B89)</f>
        <v>2º GRUPO C</v>
      </c>
      <c r="D89" s="693"/>
      <c r="E89" s="370"/>
      <c r="F89" s="370"/>
      <c r="G89" s="370"/>
      <c r="H89" s="370"/>
      <c r="I89" s="381"/>
      <c r="J89" s="370"/>
      <c r="K89" s="370"/>
      <c r="L89" s="370"/>
      <c r="M89" s="379"/>
      <c r="N89" s="377"/>
    </row>
    <row r="90" spans="1:14" ht="15" customHeight="1" x14ac:dyDescent="0.2">
      <c r="A90" s="696"/>
      <c r="B90" s="359" t="str">
        <f>Idiomas!D150</f>
        <v>3º GRUPO C</v>
      </c>
      <c r="C90" s="349" t="str">
        <f ca="1">IF(OR(SUM(WORLDCUP!$AN$22:$AN$25)=12,WORLDCUP!$AJ$99=144),WORLDCUP!AL24,B90)</f>
        <v>3º GRUPO C</v>
      </c>
      <c r="D90" s="693"/>
      <c r="E90" s="370"/>
      <c r="F90" s="370"/>
      <c r="G90" s="370"/>
      <c r="H90" s="370"/>
      <c r="I90" s="381"/>
      <c r="J90" s="370"/>
      <c r="K90" s="370"/>
      <c r="L90" s="370"/>
      <c r="M90" s="379"/>
      <c r="N90" s="377"/>
    </row>
    <row r="91" spans="1:14" ht="15" customHeight="1" x14ac:dyDescent="0.2">
      <c r="A91" s="696"/>
      <c r="B91" s="359" t="str">
        <f>Idiomas!D151</f>
        <v>4º GRUPO C</v>
      </c>
      <c r="C91" s="349" t="str">
        <f ca="1">IF(OR(SUM(WORLDCUP!$AN$22:$AN$25)=12,WORLDCUP!$AJ$99=144),WORLDCUP!AL25,B91)</f>
        <v>4º GRUPO C</v>
      </c>
      <c r="D91" s="693"/>
      <c r="E91" s="370"/>
      <c r="F91" s="370"/>
      <c r="G91" s="370"/>
      <c r="H91" s="370"/>
      <c r="I91" s="381"/>
      <c r="J91" s="370"/>
      <c r="K91" s="370"/>
      <c r="L91" s="370"/>
      <c r="M91" s="379"/>
      <c r="N91" s="377"/>
    </row>
    <row r="92" spans="1:14" ht="15" customHeight="1" x14ac:dyDescent="0.2">
      <c r="A92" s="695" t="s">
        <v>74</v>
      </c>
      <c r="B92" s="357" t="str">
        <f>Idiomas!D152</f>
        <v>1º GRUPO D</v>
      </c>
      <c r="C92" s="349" t="str">
        <f ca="1">IF(OR(SUM(WORLDCUP!$AN$30:$AN$33)=12,WORLDCUP!$AJ$99=144),WORLDCUP!AL30,B92)</f>
        <v>1º GRUPO D</v>
      </c>
      <c r="D92" s="693"/>
      <c r="E92" s="370"/>
      <c r="F92" s="370"/>
      <c r="G92" s="370"/>
      <c r="H92" s="370"/>
      <c r="I92" s="381"/>
      <c r="J92" s="370"/>
      <c r="K92" s="370"/>
      <c r="L92" s="370"/>
      <c r="M92" s="379"/>
      <c r="N92" s="377"/>
    </row>
    <row r="93" spans="1:14" ht="15" customHeight="1" x14ac:dyDescent="0.2">
      <c r="A93" s="695"/>
      <c r="B93" s="357" t="str">
        <f>Idiomas!D153</f>
        <v>2º GRUPO D</v>
      </c>
      <c r="C93" s="349" t="str">
        <f ca="1">IF(OR(SUM(WORLDCUP!$AN$30:$AN$33)=12,WORLDCUP!$AJ$99=144),WORLDCUP!AL31,B93)</f>
        <v>2º GRUPO D</v>
      </c>
      <c r="D93" s="693"/>
      <c r="E93" s="370"/>
      <c r="F93" s="370"/>
      <c r="G93" s="370"/>
      <c r="H93" s="370"/>
      <c r="I93" s="381"/>
      <c r="J93" s="370"/>
      <c r="K93" s="370"/>
      <c r="L93" s="370"/>
      <c r="M93" s="379"/>
      <c r="N93" s="377"/>
    </row>
    <row r="94" spans="1:14" ht="15" customHeight="1" x14ac:dyDescent="0.2">
      <c r="A94" s="695"/>
      <c r="B94" s="357" t="str">
        <f>Idiomas!D154</f>
        <v>3º GRUPO D</v>
      </c>
      <c r="C94" s="349" t="str">
        <f ca="1">IF(OR(SUM(WORLDCUP!$AN$30:$AN$33)=12,WORLDCUP!$AJ$99=144),WORLDCUP!AL32,B94)</f>
        <v>3º GRUPO D</v>
      </c>
      <c r="D94" s="693"/>
      <c r="E94" s="370"/>
      <c r="F94" s="370"/>
      <c r="G94" s="370"/>
      <c r="H94" s="370"/>
      <c r="I94" s="381"/>
      <c r="J94" s="370"/>
      <c r="K94" s="370"/>
      <c r="L94" s="370"/>
      <c r="M94" s="379"/>
      <c r="N94" s="377"/>
    </row>
    <row r="95" spans="1:14" ht="15" customHeight="1" x14ac:dyDescent="0.2">
      <c r="A95" s="695"/>
      <c r="B95" s="357" t="str">
        <f>Idiomas!D155</f>
        <v>4º GRUPO D</v>
      </c>
      <c r="C95" s="349" t="str">
        <f ca="1">IF(OR(SUM(WORLDCUP!$AN$30:$AN$33)=12,WORLDCUP!$AJ$99=144),WORLDCUP!AL33,B95)</f>
        <v>4º GRUPO D</v>
      </c>
      <c r="D95" s="693"/>
      <c r="E95" s="370"/>
      <c r="F95" s="370"/>
      <c r="G95" s="370"/>
      <c r="H95" s="370"/>
      <c r="I95" s="381"/>
      <c r="J95" s="370"/>
      <c r="K95" s="370"/>
      <c r="L95" s="370"/>
      <c r="M95" s="379"/>
      <c r="N95" s="377"/>
    </row>
    <row r="96" spans="1:14" ht="15" customHeight="1" x14ac:dyDescent="0.2">
      <c r="A96" s="696" t="s">
        <v>3</v>
      </c>
      <c r="B96" s="359" t="str">
        <f>Idiomas!D156</f>
        <v>1º GRUPO E</v>
      </c>
      <c r="C96" s="349" t="str">
        <f ca="1">IF(OR(SUM(WORLDCUP!$AN$38:$AN$41)=12,WORLDCUP!$AJ$99=144),WORLDCUP!AL38,B96)</f>
        <v>1º GRUPO E</v>
      </c>
      <c r="D96" s="693"/>
      <c r="E96" s="370"/>
      <c r="F96" s="370"/>
      <c r="G96" s="370"/>
      <c r="H96" s="370"/>
      <c r="I96" s="381"/>
      <c r="J96" s="370"/>
      <c r="K96" s="370"/>
      <c r="L96" s="370"/>
      <c r="M96" s="379"/>
      <c r="N96" s="377"/>
    </row>
    <row r="97" spans="1:14" ht="15" customHeight="1" x14ac:dyDescent="0.2">
      <c r="A97" s="696"/>
      <c r="B97" s="359" t="str">
        <f>Idiomas!D157</f>
        <v>2º GRUPO E</v>
      </c>
      <c r="C97" s="349" t="str">
        <f ca="1">IF(OR(SUM(WORLDCUP!$AN$38:$AN$41)=12,WORLDCUP!$AJ$99=144),WORLDCUP!AL39,B97)</f>
        <v>2º GRUPO E</v>
      </c>
      <c r="D97" s="693"/>
      <c r="E97" s="370"/>
      <c r="F97" s="370"/>
      <c r="G97" s="370"/>
      <c r="H97" s="370"/>
      <c r="I97" s="381"/>
      <c r="J97" s="370"/>
      <c r="K97" s="370"/>
      <c r="L97" s="370"/>
      <c r="M97" s="379"/>
      <c r="N97" s="377"/>
    </row>
    <row r="98" spans="1:14" ht="15" customHeight="1" x14ac:dyDescent="0.2">
      <c r="A98" s="696"/>
      <c r="B98" s="359" t="str">
        <f>Idiomas!D158</f>
        <v>3º GRUPO E</v>
      </c>
      <c r="C98" s="349" t="str">
        <f ca="1">IF(OR(SUM(WORLDCUP!$AN$38:$AN$41)=12,WORLDCUP!$AJ$99=144),WORLDCUP!AL40,B98)</f>
        <v>3º GRUPO E</v>
      </c>
      <c r="D98" s="693"/>
      <c r="E98" s="370"/>
      <c r="F98" s="370"/>
      <c r="G98" s="370"/>
      <c r="H98" s="370"/>
      <c r="I98" s="381"/>
      <c r="J98" s="370"/>
      <c r="K98" s="370"/>
      <c r="L98" s="370"/>
      <c r="M98" s="379"/>
      <c r="N98" s="377"/>
    </row>
    <row r="99" spans="1:14" ht="15" customHeight="1" x14ac:dyDescent="0.2">
      <c r="A99" s="696"/>
      <c r="B99" s="359" t="str">
        <f>Idiomas!D159</f>
        <v>4º GRUPO E</v>
      </c>
      <c r="C99" s="349" t="str">
        <f ca="1">IF(OR(SUM(WORLDCUP!$AN$38:$AN$41)=12,WORLDCUP!$AJ$99=144),WORLDCUP!AL41,B99)</f>
        <v>4º GRUPO E</v>
      </c>
      <c r="D99" s="693"/>
      <c r="E99" s="370"/>
      <c r="F99" s="370"/>
      <c r="G99" s="370"/>
      <c r="H99" s="370"/>
      <c r="I99" s="381"/>
      <c r="J99" s="370"/>
      <c r="K99" s="370"/>
      <c r="L99" s="370"/>
      <c r="M99" s="379"/>
      <c r="N99" s="377"/>
    </row>
    <row r="100" spans="1:14" ht="15" customHeight="1" x14ac:dyDescent="0.2">
      <c r="A100" s="695" t="s">
        <v>4</v>
      </c>
      <c r="B100" s="357" t="str">
        <f>Idiomas!D160</f>
        <v>1º GRUPO F</v>
      </c>
      <c r="C100" s="349" t="str">
        <f ca="1">IF(OR(SUM(WORLDCUP!$AN$46:$AN$49)=12,WORLDCUP!$AJ$99=144),WORLDCUP!AL46,B100)</f>
        <v>1º GRUPO F</v>
      </c>
      <c r="D100" s="693"/>
      <c r="E100" s="370"/>
      <c r="F100" s="370"/>
      <c r="G100" s="370"/>
      <c r="H100" s="370"/>
      <c r="I100" s="381"/>
      <c r="J100" s="370"/>
      <c r="K100" s="370"/>
      <c r="L100" s="370"/>
      <c r="M100" s="379"/>
      <c r="N100" s="377"/>
    </row>
    <row r="101" spans="1:14" ht="15" customHeight="1" x14ac:dyDescent="0.2">
      <c r="A101" s="695"/>
      <c r="B101" s="357" t="str">
        <f>Idiomas!D161</f>
        <v>2º GRUPO F</v>
      </c>
      <c r="C101" s="349" t="str">
        <f ca="1">IF(OR(SUM(WORLDCUP!$AN$46:$AN$49)=12,WORLDCUP!$AJ$99=144),WORLDCUP!AL47,B101)</f>
        <v>2º GRUPO F</v>
      </c>
      <c r="D101" s="693"/>
      <c r="E101" s="370"/>
      <c r="F101" s="370"/>
      <c r="G101" s="370"/>
      <c r="H101" s="370"/>
      <c r="I101" s="381"/>
      <c r="J101" s="370"/>
      <c r="K101" s="370"/>
      <c r="L101" s="370"/>
      <c r="M101" s="379"/>
      <c r="N101" s="377"/>
    </row>
    <row r="102" spans="1:14" ht="15" customHeight="1" x14ac:dyDescent="0.2">
      <c r="A102" s="695"/>
      <c r="B102" s="357" t="str">
        <f>Idiomas!D162</f>
        <v>3º GRUPO F</v>
      </c>
      <c r="C102" s="349" t="str">
        <f ca="1">IF(OR(SUM(WORLDCUP!$AN$46:$AN$49)=12,WORLDCUP!$AJ$99=144),WORLDCUP!AL48,B102)</f>
        <v>3º GRUPO F</v>
      </c>
      <c r="D102" s="693"/>
      <c r="E102" s="370"/>
      <c r="F102" s="370"/>
      <c r="G102" s="370"/>
      <c r="H102" s="370"/>
      <c r="I102" s="381"/>
      <c r="J102" s="370"/>
      <c r="K102" s="370"/>
      <c r="L102" s="370"/>
      <c r="M102" s="379"/>
      <c r="N102" s="377"/>
    </row>
    <row r="103" spans="1:14" ht="15" customHeight="1" x14ac:dyDescent="0.2">
      <c r="A103" s="695"/>
      <c r="B103" s="357" t="str">
        <f>Idiomas!D163</f>
        <v>4º GRUPO F</v>
      </c>
      <c r="C103" s="349" t="str">
        <f ca="1">IF(OR(SUM(WORLDCUP!$AN$46:$AN$49)=12,WORLDCUP!$AJ$99=144),WORLDCUP!AL49,B103)</f>
        <v>4º GRUPO F</v>
      </c>
      <c r="D103" s="693"/>
      <c r="E103" s="370"/>
      <c r="F103" s="370"/>
      <c r="G103" s="370"/>
      <c r="H103" s="370"/>
      <c r="I103" s="381"/>
      <c r="J103" s="370"/>
      <c r="K103" s="370"/>
      <c r="L103" s="370"/>
      <c r="M103" s="379"/>
      <c r="N103" s="377"/>
    </row>
    <row r="104" spans="1:14" ht="15" customHeight="1" x14ac:dyDescent="0.2">
      <c r="A104" s="696" t="s">
        <v>6</v>
      </c>
      <c r="B104" s="359" t="str">
        <f>Idiomas!D164</f>
        <v>1º GRUPO G</v>
      </c>
      <c r="C104" s="349" t="str">
        <f ca="1">IF(OR(SUM(WORLDCUP!$AN$54:$AN$57)=12,WORLDCUP!$AJ$99=144),WORLDCUP!AL54,B104)</f>
        <v>1º GRUPO G</v>
      </c>
      <c r="D104" s="693"/>
      <c r="E104" s="370"/>
      <c r="F104" s="370"/>
      <c r="G104" s="370"/>
      <c r="H104" s="370"/>
      <c r="I104" s="381"/>
      <c r="J104" s="370"/>
      <c r="K104" s="370"/>
      <c r="L104" s="370"/>
      <c r="M104" s="379"/>
      <c r="N104" s="377"/>
    </row>
    <row r="105" spans="1:14" ht="15" customHeight="1" x14ac:dyDescent="0.2">
      <c r="A105" s="696"/>
      <c r="B105" s="359" t="str">
        <f>Idiomas!D165</f>
        <v>2º GRUPO G</v>
      </c>
      <c r="C105" s="349" t="str">
        <f ca="1">IF(OR(SUM(WORLDCUP!$AN$54:$AN$57)=12,WORLDCUP!$AJ$99=144),WORLDCUP!AL55,B105)</f>
        <v>2º GRUPO G</v>
      </c>
      <c r="D105" s="693"/>
      <c r="E105" s="370"/>
      <c r="F105" s="370"/>
      <c r="G105" s="370"/>
      <c r="H105" s="370"/>
      <c r="I105" s="381"/>
      <c r="J105" s="370"/>
      <c r="K105" s="370"/>
      <c r="L105" s="370"/>
      <c r="M105" s="379"/>
      <c r="N105" s="377"/>
    </row>
    <row r="106" spans="1:14" ht="15" customHeight="1" x14ac:dyDescent="0.2">
      <c r="A106" s="696"/>
      <c r="B106" s="359" t="str">
        <f>Idiomas!D166</f>
        <v>3º GRUPO G</v>
      </c>
      <c r="C106" s="349" t="str">
        <f ca="1">IF(OR(SUM(WORLDCUP!$AN$54:$AN$57)=12,WORLDCUP!$AJ$99=144),WORLDCUP!AL56,B106)</f>
        <v>3º GRUPO G</v>
      </c>
      <c r="D106" s="693"/>
      <c r="E106" s="370"/>
      <c r="F106" s="370"/>
      <c r="G106" s="370"/>
      <c r="H106" s="370"/>
      <c r="I106" s="381"/>
      <c r="J106" s="370"/>
      <c r="K106" s="370"/>
      <c r="L106" s="370"/>
      <c r="M106" s="379"/>
      <c r="N106" s="377"/>
    </row>
    <row r="107" spans="1:14" ht="15" customHeight="1" x14ac:dyDescent="0.2">
      <c r="A107" s="696"/>
      <c r="B107" s="359" t="str">
        <f>Idiomas!D167</f>
        <v>4º GRUPO G</v>
      </c>
      <c r="C107" s="349" t="str">
        <f ca="1">IF(OR(SUM(WORLDCUP!$AN$54:$AN$57)=12,WORLDCUP!$AJ$99=144),WORLDCUP!AL57,B107)</f>
        <v>4º GRUPO G</v>
      </c>
      <c r="D107" s="693"/>
      <c r="E107" s="370"/>
      <c r="F107" s="370"/>
      <c r="G107" s="370"/>
      <c r="H107" s="370"/>
      <c r="I107" s="381"/>
      <c r="J107" s="370"/>
      <c r="K107" s="370"/>
      <c r="L107" s="370"/>
      <c r="M107" s="379"/>
      <c r="N107" s="377"/>
    </row>
    <row r="108" spans="1:14" ht="15" customHeight="1" x14ac:dyDescent="0.2">
      <c r="A108" s="695" t="s">
        <v>447</v>
      </c>
      <c r="B108" s="357" t="str">
        <f>Idiomas!D168</f>
        <v>1º GRUPO H</v>
      </c>
      <c r="C108" s="349" t="str">
        <f ca="1">IF(OR(SUM(WORLDCUP!$AN$62:$AN$65)=12,WORLDCUP!$AJ$99=144),WORLDCUP!AL62,B108)</f>
        <v>1º GRUPO H</v>
      </c>
      <c r="D108" s="693"/>
      <c r="E108" s="370"/>
      <c r="F108" s="370"/>
      <c r="G108" s="370"/>
      <c r="H108" s="370"/>
      <c r="I108" s="381"/>
      <c r="J108" s="370"/>
      <c r="K108" s="370"/>
      <c r="L108" s="370"/>
      <c r="M108" s="379"/>
      <c r="N108" s="377"/>
    </row>
    <row r="109" spans="1:14" ht="15" customHeight="1" x14ac:dyDescent="0.2">
      <c r="A109" s="695"/>
      <c r="B109" s="357" t="str">
        <f>Idiomas!D169</f>
        <v>2º GRUPO H</v>
      </c>
      <c r="C109" s="349" t="str">
        <f ca="1">IF(OR(SUM(WORLDCUP!$AN$62:$AN$65)=12,WORLDCUP!$AJ$99=144),WORLDCUP!AL63,B109)</f>
        <v>2º GRUPO H</v>
      </c>
      <c r="D109" s="693"/>
      <c r="E109" s="370"/>
      <c r="F109" s="370"/>
      <c r="G109" s="370"/>
      <c r="H109" s="370"/>
      <c r="I109" s="381"/>
      <c r="J109" s="370"/>
      <c r="K109" s="370"/>
      <c r="L109" s="370"/>
      <c r="M109" s="379"/>
      <c r="N109" s="377"/>
    </row>
    <row r="110" spans="1:14" ht="15" customHeight="1" x14ac:dyDescent="0.2">
      <c r="A110" s="695"/>
      <c r="B110" s="357" t="str">
        <f>Idiomas!D170</f>
        <v>3º GRUPO H</v>
      </c>
      <c r="C110" s="349" t="str">
        <f ca="1">IF(OR(SUM(WORLDCUP!$AN$62:$AN$65)=12,WORLDCUP!$AJ$99=144),WORLDCUP!AL64,B110)</f>
        <v>3º GRUPO H</v>
      </c>
      <c r="D110" s="693"/>
      <c r="E110" s="370"/>
      <c r="F110" s="370"/>
      <c r="G110" s="370"/>
      <c r="H110" s="370"/>
      <c r="I110" s="381"/>
      <c r="J110" s="370"/>
      <c r="K110" s="370"/>
      <c r="L110" s="370"/>
      <c r="M110" s="379"/>
      <c r="N110" s="377"/>
    </row>
    <row r="111" spans="1:14" ht="15" customHeight="1" x14ac:dyDescent="0.2">
      <c r="A111" s="695"/>
      <c r="B111" s="357" t="str">
        <f>Idiomas!D171</f>
        <v>4º GRUPO H</v>
      </c>
      <c r="C111" s="349" t="str">
        <f ca="1">IF(OR(SUM(WORLDCUP!$AN$62:$AN$65)=12,WORLDCUP!$AJ$99=144),WORLDCUP!AL65,B111)</f>
        <v>4º GRUPO H</v>
      </c>
      <c r="D111" s="693"/>
      <c r="E111" s="370"/>
      <c r="F111" s="370"/>
      <c r="G111" s="370"/>
      <c r="H111" s="370"/>
      <c r="I111" s="381"/>
      <c r="J111" s="370"/>
      <c r="K111" s="370"/>
      <c r="L111" s="370"/>
      <c r="M111" s="379"/>
      <c r="N111" s="377"/>
    </row>
    <row r="112" spans="1:14" ht="15" customHeight="1" x14ac:dyDescent="0.2">
      <c r="A112" s="696" t="s">
        <v>448</v>
      </c>
      <c r="B112" s="359" t="str">
        <f>Idiomas!D172</f>
        <v>1º GRUPO I</v>
      </c>
      <c r="C112" s="349" t="str">
        <f ca="1">IF(OR(SUM(WORLDCUP!$AN$70:$AN$73)=12,WORLDCUP!$AJ$99=144),WORLDCUP!AL70,B112)</f>
        <v>1º GRUPO I</v>
      </c>
      <c r="D112" s="693"/>
      <c r="E112" s="370"/>
      <c r="F112" s="370"/>
      <c r="G112" s="370"/>
      <c r="H112" s="370"/>
      <c r="I112" s="381"/>
      <c r="J112" s="370"/>
      <c r="K112" s="370"/>
      <c r="L112" s="370"/>
      <c r="M112" s="379"/>
      <c r="N112" s="377"/>
    </row>
    <row r="113" spans="1:14" ht="15" customHeight="1" x14ac:dyDescent="0.2">
      <c r="A113" s="696"/>
      <c r="B113" s="359" t="str">
        <f>Idiomas!D173</f>
        <v>2º GRUPO I</v>
      </c>
      <c r="C113" s="349" t="str">
        <f ca="1">IF(OR(SUM(WORLDCUP!$AN$70:$AN$73)=12,WORLDCUP!$AJ$99=144),WORLDCUP!AL71,B113)</f>
        <v>2º GRUPO I</v>
      </c>
      <c r="D113" s="693"/>
      <c r="E113" s="370"/>
      <c r="F113" s="370"/>
      <c r="G113" s="370"/>
      <c r="H113" s="370"/>
      <c r="I113" s="381"/>
      <c r="J113" s="370"/>
      <c r="K113" s="370"/>
      <c r="L113" s="370"/>
      <c r="M113" s="379"/>
      <c r="N113" s="377"/>
    </row>
    <row r="114" spans="1:14" ht="15" customHeight="1" x14ac:dyDescent="0.2">
      <c r="A114" s="696"/>
      <c r="B114" s="359" t="str">
        <f>Idiomas!D174</f>
        <v>3º GRUPO I</v>
      </c>
      <c r="C114" s="349" t="str">
        <f ca="1">IF(OR(SUM(WORLDCUP!$AN$70:$AN$73)=12,WORLDCUP!$AJ$99=144),WORLDCUP!AL72,B114)</f>
        <v>3º GRUPO I</v>
      </c>
      <c r="D114" s="693"/>
      <c r="E114" s="370"/>
      <c r="F114" s="370"/>
      <c r="G114" s="370"/>
      <c r="H114" s="370"/>
      <c r="I114" s="381"/>
      <c r="J114" s="370"/>
      <c r="K114" s="370"/>
      <c r="L114" s="370"/>
      <c r="M114" s="379"/>
      <c r="N114" s="377"/>
    </row>
    <row r="115" spans="1:14" ht="15" customHeight="1" x14ac:dyDescent="0.2">
      <c r="A115" s="696"/>
      <c r="B115" s="359" t="str">
        <f>Idiomas!D175</f>
        <v>4º GRUPO I</v>
      </c>
      <c r="C115" s="349" t="str">
        <f ca="1">IF(OR(SUM(WORLDCUP!$AN$70:$AN$73)=12,WORLDCUP!$AJ$99=144),WORLDCUP!AL73,B115)</f>
        <v>4º GRUPO I</v>
      </c>
      <c r="D115" s="693"/>
      <c r="E115" s="370"/>
      <c r="F115" s="370"/>
      <c r="G115" s="370"/>
      <c r="H115" s="370"/>
      <c r="I115" s="381"/>
      <c r="J115" s="370"/>
      <c r="K115" s="370"/>
      <c r="L115" s="370"/>
      <c r="M115" s="379"/>
      <c r="N115" s="377"/>
    </row>
    <row r="116" spans="1:14" ht="15" customHeight="1" x14ac:dyDescent="0.2">
      <c r="A116" s="695" t="s">
        <v>5</v>
      </c>
      <c r="B116" s="357" t="str">
        <f>Idiomas!D176</f>
        <v>1º GRUPO J</v>
      </c>
      <c r="C116" s="349" t="str">
        <f ca="1">IF(OR(SUM(WORLDCUP!$AN$78:$AN$81)=12,WORLDCUP!$AJ$99=144),WORLDCUP!AL78,B116)</f>
        <v>1º GRUPO J</v>
      </c>
      <c r="D116" s="693"/>
      <c r="E116" s="370"/>
      <c r="F116" s="370"/>
      <c r="G116" s="370"/>
      <c r="H116" s="370"/>
      <c r="I116" s="381"/>
      <c r="J116" s="370"/>
      <c r="K116" s="370"/>
      <c r="L116" s="370"/>
      <c r="M116" s="379"/>
      <c r="N116" s="377"/>
    </row>
    <row r="117" spans="1:14" ht="15" customHeight="1" x14ac:dyDescent="0.2">
      <c r="A117" s="695"/>
      <c r="B117" s="357" t="str">
        <f>Idiomas!D177</f>
        <v>2º GRUPO J</v>
      </c>
      <c r="C117" s="349" t="str">
        <f ca="1">IF(OR(SUM(WORLDCUP!$AN$78:$AN$81)=12,WORLDCUP!$AJ$99=144),WORLDCUP!AL79,B117)</f>
        <v>2º GRUPO J</v>
      </c>
      <c r="D117" s="693"/>
      <c r="E117" s="370"/>
      <c r="F117" s="370"/>
      <c r="G117" s="370"/>
      <c r="H117" s="370"/>
      <c r="I117" s="381"/>
      <c r="J117" s="370"/>
      <c r="K117" s="370"/>
      <c r="L117" s="370"/>
      <c r="M117" s="379"/>
      <c r="N117" s="377"/>
    </row>
    <row r="118" spans="1:14" ht="15" customHeight="1" x14ac:dyDescent="0.2">
      <c r="A118" s="695"/>
      <c r="B118" s="357" t="str">
        <f>Idiomas!D178</f>
        <v>3º GRUPO J</v>
      </c>
      <c r="C118" s="349" t="str">
        <f ca="1">IF(OR(SUM(WORLDCUP!$AN$78:$AN$81)=12,WORLDCUP!$AJ$99=144),WORLDCUP!AL80,B118)</f>
        <v>3º GRUPO J</v>
      </c>
      <c r="D118" s="693"/>
      <c r="E118" s="370"/>
      <c r="F118" s="370"/>
      <c r="G118" s="370"/>
      <c r="H118" s="370"/>
      <c r="I118" s="381"/>
      <c r="J118" s="370"/>
      <c r="K118" s="370"/>
      <c r="L118" s="370"/>
      <c r="M118" s="379"/>
      <c r="N118" s="377"/>
    </row>
    <row r="119" spans="1:14" ht="15" customHeight="1" x14ac:dyDescent="0.2">
      <c r="A119" s="695"/>
      <c r="B119" s="357" t="str">
        <f>Idiomas!D179</f>
        <v>4º GRUPO J</v>
      </c>
      <c r="C119" s="349" t="str">
        <f ca="1">IF(OR(SUM(WORLDCUP!$AN$78:$AN$81)=12,WORLDCUP!$AJ$99=144),WORLDCUP!AL81,B119)</f>
        <v>4º GRUPO J</v>
      </c>
      <c r="D119" s="693"/>
      <c r="E119" s="370"/>
      <c r="F119" s="370"/>
      <c r="G119" s="370"/>
      <c r="H119" s="370"/>
      <c r="I119" s="381"/>
      <c r="J119" s="370"/>
      <c r="K119" s="370"/>
      <c r="L119" s="370"/>
      <c r="M119" s="379"/>
      <c r="N119" s="377"/>
    </row>
    <row r="120" spans="1:14" ht="15" customHeight="1" x14ac:dyDescent="0.2">
      <c r="A120" s="696" t="s">
        <v>449</v>
      </c>
      <c r="B120" s="359" t="str">
        <f>Idiomas!D180</f>
        <v>1º GRUPO K</v>
      </c>
      <c r="C120" s="349" t="str">
        <f ca="1">IF(OR(SUM(WORLDCUP!$AN$86:$AN$89)=12,WORLDCUP!$AJ$99=144),WORLDCUP!AL86,B120)</f>
        <v>1º GRUPO K</v>
      </c>
      <c r="D120" s="693"/>
      <c r="E120" s="370"/>
      <c r="F120" s="370"/>
      <c r="G120" s="370"/>
      <c r="H120" s="370"/>
      <c r="I120" s="381"/>
      <c r="J120" s="370"/>
      <c r="K120" s="370"/>
      <c r="L120" s="370"/>
      <c r="M120" s="379"/>
      <c r="N120" s="377"/>
    </row>
    <row r="121" spans="1:14" ht="15" customHeight="1" x14ac:dyDescent="0.2">
      <c r="A121" s="696"/>
      <c r="B121" s="359" t="str">
        <f>Idiomas!D181</f>
        <v>2º GRUPO K</v>
      </c>
      <c r="C121" s="349" t="str">
        <f ca="1">IF(OR(SUM(WORLDCUP!$AN$86:$AN$89)=12,WORLDCUP!$AJ$99=144),WORLDCUP!AL87,B121)</f>
        <v>2º GRUPO K</v>
      </c>
      <c r="D121" s="693"/>
      <c r="E121" s="370"/>
      <c r="F121" s="370"/>
      <c r="G121" s="370"/>
      <c r="H121" s="370"/>
      <c r="I121" s="381"/>
      <c r="J121" s="370"/>
      <c r="K121" s="370"/>
      <c r="L121" s="370"/>
      <c r="M121" s="379"/>
      <c r="N121" s="377"/>
    </row>
    <row r="122" spans="1:14" ht="15" customHeight="1" x14ac:dyDescent="0.2">
      <c r="A122" s="696"/>
      <c r="B122" s="359" t="str">
        <f>Idiomas!D182</f>
        <v>3º GRUPO K</v>
      </c>
      <c r="C122" s="349" t="str">
        <f ca="1">IF(OR(SUM(WORLDCUP!$AN$86:$AN$89)=12,WORLDCUP!$AJ$99=144),WORLDCUP!AL88,B122)</f>
        <v>3º GRUPO K</v>
      </c>
      <c r="D122" s="693"/>
      <c r="E122" s="370"/>
      <c r="F122" s="370"/>
      <c r="G122" s="370"/>
      <c r="H122" s="370"/>
      <c r="I122" s="381"/>
      <c r="J122" s="370"/>
      <c r="K122" s="370"/>
      <c r="L122" s="370"/>
      <c r="M122" s="379"/>
      <c r="N122" s="377"/>
    </row>
    <row r="123" spans="1:14" ht="15" customHeight="1" x14ac:dyDescent="0.2">
      <c r="A123" s="696"/>
      <c r="B123" s="359" t="str">
        <f>Idiomas!D183</f>
        <v>4º GRUPO K</v>
      </c>
      <c r="C123" s="349" t="str">
        <f ca="1">IF(OR(SUM(WORLDCUP!$AN$86:$AN$89)=12,WORLDCUP!$AJ$99=144),WORLDCUP!AL89,B123)</f>
        <v>4º GRUPO K</v>
      </c>
      <c r="D123" s="693"/>
      <c r="E123" s="370"/>
      <c r="F123" s="370"/>
      <c r="G123" s="370"/>
      <c r="H123" s="370"/>
      <c r="I123" s="381"/>
      <c r="J123" s="370"/>
      <c r="K123" s="370"/>
      <c r="L123" s="370"/>
      <c r="M123" s="379"/>
      <c r="N123" s="377"/>
    </row>
    <row r="124" spans="1:14" ht="15" customHeight="1" x14ac:dyDescent="0.2">
      <c r="A124" s="695" t="s">
        <v>247</v>
      </c>
      <c r="B124" s="357" t="str">
        <f>Idiomas!D184</f>
        <v>1º GRUPO L</v>
      </c>
      <c r="C124" s="349" t="str">
        <f ca="1">IF(OR(SUM(WORLDCUP!$AN$94:$AN$97)=12,WORLDCUP!$AJ$99=144),WORLDCUP!AL94,B124)</f>
        <v>1º GRUPO L</v>
      </c>
      <c r="D124" s="693"/>
      <c r="E124" s="370"/>
      <c r="F124" s="370"/>
      <c r="G124" s="370"/>
      <c r="H124" s="370"/>
      <c r="I124" s="381"/>
      <c r="J124" s="370"/>
      <c r="K124" s="370"/>
      <c r="L124" s="370"/>
      <c r="M124" s="379"/>
      <c r="N124" s="377"/>
    </row>
    <row r="125" spans="1:14" ht="15" customHeight="1" x14ac:dyDescent="0.2">
      <c r="A125" s="695"/>
      <c r="B125" s="357" t="str">
        <f>Idiomas!D185</f>
        <v>2º GRUPO L</v>
      </c>
      <c r="C125" s="349" t="str">
        <f ca="1">IF(OR(SUM(WORLDCUP!$AN$94:$AN$97)=12,WORLDCUP!$AJ$99=144),WORLDCUP!AL95,B125)</f>
        <v>2º GRUPO L</v>
      </c>
      <c r="D125" s="693"/>
      <c r="E125" s="370"/>
      <c r="F125" s="370"/>
      <c r="G125" s="370"/>
      <c r="H125" s="370"/>
      <c r="I125" s="381"/>
      <c r="J125" s="370"/>
      <c r="K125" s="370"/>
      <c r="L125" s="370"/>
      <c r="M125" s="379"/>
      <c r="N125" s="377"/>
    </row>
    <row r="126" spans="1:14" ht="15" customHeight="1" x14ac:dyDescent="0.2">
      <c r="A126" s="695"/>
      <c r="B126" s="357" t="str">
        <f>Idiomas!D186</f>
        <v>3º GRUPO L</v>
      </c>
      <c r="C126" s="349" t="str">
        <f ca="1">IF(OR(SUM(WORLDCUP!$AN$94:$AN$97)=12,WORLDCUP!$AJ$99=144),WORLDCUP!AL96,B126)</f>
        <v>3º GRUPO L</v>
      </c>
      <c r="D126" s="693"/>
      <c r="E126" s="370"/>
      <c r="F126" s="370"/>
      <c r="G126" s="370"/>
      <c r="H126" s="370"/>
      <c r="I126" s="381"/>
      <c r="J126" s="370"/>
      <c r="K126" s="370"/>
      <c r="L126" s="370"/>
      <c r="M126" s="379"/>
      <c r="N126" s="377"/>
    </row>
    <row r="127" spans="1:14" ht="15" customHeight="1" x14ac:dyDescent="0.2">
      <c r="A127" s="695"/>
      <c r="B127" s="357" t="str">
        <f>Idiomas!D187</f>
        <v>4º GRUPO L</v>
      </c>
      <c r="C127" s="349" t="str">
        <f ca="1">IF(OR(SUM(WORLDCUP!$AN$94:$AN$97)=12,WORLDCUP!$AJ$99=144),WORLDCUP!AL97,B127)</f>
        <v>4º GRUPO L</v>
      </c>
      <c r="D127" s="693"/>
      <c r="E127" s="370"/>
      <c r="F127" s="370"/>
      <c r="G127" s="370"/>
      <c r="H127" s="370"/>
      <c r="I127" s="381"/>
      <c r="J127" s="370"/>
      <c r="K127" s="370"/>
      <c r="L127" s="370"/>
      <c r="M127" s="379"/>
      <c r="N127" s="377"/>
    </row>
    <row r="128" spans="1:14" ht="15" customHeight="1" x14ac:dyDescent="0.2">
      <c r="A128" s="353"/>
      <c r="B128" s="353"/>
      <c r="C128" s="350"/>
      <c r="D128" s="693"/>
      <c r="E128" s="370"/>
      <c r="F128" s="370"/>
      <c r="G128" s="370"/>
      <c r="H128" s="370"/>
      <c r="I128" s="381"/>
      <c r="J128" s="370"/>
      <c r="K128" s="370"/>
      <c r="L128" s="370"/>
      <c r="M128" s="379"/>
      <c r="N128" s="377"/>
    </row>
    <row r="129" spans="1:14" ht="19" customHeight="1" x14ac:dyDescent="0.25">
      <c r="A129" s="353"/>
      <c r="B129" s="358" t="str">
        <f>Idiomas!D127</f>
        <v>CLASIFICADOS PARA DIECISEISAVOS</v>
      </c>
      <c r="C129" s="350"/>
      <c r="D129" s="693"/>
      <c r="E129" s="370"/>
      <c r="F129" s="370"/>
      <c r="G129" s="370"/>
      <c r="H129" s="370"/>
      <c r="I129" s="381"/>
      <c r="J129" s="370"/>
      <c r="K129" s="370"/>
      <c r="L129" s="370"/>
      <c r="M129" s="379"/>
      <c r="N129" s="377"/>
    </row>
    <row r="130" spans="1:14" ht="15" customHeight="1" x14ac:dyDescent="0.2">
      <c r="A130" s="690" t="s">
        <v>493</v>
      </c>
      <c r="B130" s="360" t="str">
        <f>Idiomas!$D$188</f>
        <v>Dieciseisavofinalista</v>
      </c>
      <c r="C130" s="349" t="str">
        <f ca="1">WORLDCUP!AA101</f>
        <v>2A</v>
      </c>
      <c r="D130" s="693"/>
      <c r="E130" s="370"/>
      <c r="F130" s="370"/>
      <c r="G130" s="370"/>
      <c r="H130" s="370"/>
      <c r="I130" s="381"/>
      <c r="J130" s="370"/>
      <c r="K130" s="370"/>
      <c r="L130" s="370"/>
      <c r="M130" s="379"/>
      <c r="N130" s="377"/>
    </row>
    <row r="131" spans="1:14" ht="15" customHeight="1" x14ac:dyDescent="0.2">
      <c r="A131" s="690"/>
      <c r="B131" s="360" t="str">
        <f>B130</f>
        <v>Dieciseisavofinalista</v>
      </c>
      <c r="C131" s="349" t="str">
        <f ca="1">WORLDCUP!AA102</f>
        <v>1C</v>
      </c>
      <c r="D131" s="693"/>
      <c r="E131" s="370"/>
      <c r="F131" s="370"/>
      <c r="G131" s="370"/>
      <c r="H131" s="370"/>
      <c r="I131" s="381"/>
      <c r="J131" s="370"/>
      <c r="K131" s="370"/>
      <c r="L131" s="370"/>
      <c r="M131" s="379"/>
      <c r="N131" s="377"/>
    </row>
    <row r="132" spans="1:14" ht="15" customHeight="1" x14ac:dyDescent="0.2">
      <c r="A132" s="690"/>
      <c r="B132" s="360" t="str">
        <f t="shared" ref="B132:B145" si="0">B131</f>
        <v>Dieciseisavofinalista</v>
      </c>
      <c r="C132" s="349" t="str">
        <f ca="1">WORLDCUP!AA103</f>
        <v>1E</v>
      </c>
      <c r="D132" s="693"/>
      <c r="E132" s="370"/>
      <c r="F132" s="370"/>
      <c r="G132" s="370"/>
      <c r="H132" s="370"/>
      <c r="I132" s="381"/>
      <c r="J132" s="370"/>
      <c r="K132" s="370"/>
      <c r="L132" s="370"/>
      <c r="M132" s="379"/>
      <c r="N132" s="377"/>
    </row>
    <row r="133" spans="1:14" ht="15" customHeight="1" x14ac:dyDescent="0.2">
      <c r="A133" s="690"/>
      <c r="B133" s="360" t="str">
        <f t="shared" si="0"/>
        <v>Dieciseisavofinalista</v>
      </c>
      <c r="C133" s="349" t="str">
        <f ca="1">WORLDCUP!AA104</f>
        <v>1F</v>
      </c>
      <c r="D133" s="693"/>
      <c r="E133" s="370"/>
      <c r="F133" s="370"/>
      <c r="G133" s="370"/>
      <c r="H133" s="370"/>
      <c r="I133" s="381"/>
      <c r="J133" s="370"/>
      <c r="K133" s="370"/>
      <c r="L133" s="370"/>
      <c r="M133" s="379"/>
      <c r="N133" s="377"/>
    </row>
    <row r="134" spans="1:14" ht="15" customHeight="1" x14ac:dyDescent="0.2">
      <c r="A134" s="690"/>
      <c r="B134" s="360" t="str">
        <f t="shared" si="0"/>
        <v>Dieciseisavofinalista</v>
      </c>
      <c r="C134" s="349" t="str">
        <f ca="1">WORLDCUP!AA105</f>
        <v>2E</v>
      </c>
      <c r="D134" s="693"/>
      <c r="E134" s="370"/>
      <c r="F134" s="370"/>
      <c r="G134" s="370"/>
      <c r="H134" s="370"/>
      <c r="I134" s="381"/>
      <c r="J134" s="370"/>
      <c r="K134" s="370"/>
      <c r="L134" s="370"/>
      <c r="M134" s="379"/>
      <c r="N134" s="377"/>
    </row>
    <row r="135" spans="1:14" ht="15" customHeight="1" x14ac:dyDescent="0.2">
      <c r="A135" s="690"/>
      <c r="B135" s="360" t="str">
        <f t="shared" si="0"/>
        <v>Dieciseisavofinalista</v>
      </c>
      <c r="C135" s="349" t="str">
        <f ca="1">WORLDCUP!AA106</f>
        <v>1I</v>
      </c>
      <c r="D135" s="693"/>
      <c r="E135" s="370"/>
      <c r="F135" s="370"/>
      <c r="G135" s="370"/>
      <c r="H135" s="370"/>
      <c r="I135" s="381"/>
      <c r="J135" s="370"/>
      <c r="K135" s="370"/>
      <c r="L135" s="370"/>
      <c r="M135" s="379"/>
      <c r="N135" s="377"/>
    </row>
    <row r="136" spans="1:14" ht="15" customHeight="1" x14ac:dyDescent="0.2">
      <c r="A136" s="690"/>
      <c r="B136" s="360" t="str">
        <f t="shared" si="0"/>
        <v>Dieciseisavofinalista</v>
      </c>
      <c r="C136" s="349" t="str">
        <f ca="1">WORLDCUP!AA107</f>
        <v>1A</v>
      </c>
      <c r="D136" s="693"/>
      <c r="E136" s="370"/>
      <c r="F136" s="370"/>
      <c r="G136" s="370"/>
      <c r="H136" s="370"/>
      <c r="I136" s="381"/>
      <c r="J136" s="370"/>
      <c r="K136" s="370"/>
      <c r="L136" s="370"/>
      <c r="M136" s="379"/>
      <c r="N136" s="377"/>
    </row>
    <row r="137" spans="1:14" ht="15" customHeight="1" x14ac:dyDescent="0.2">
      <c r="A137" s="690"/>
      <c r="B137" s="360" t="str">
        <f t="shared" si="0"/>
        <v>Dieciseisavofinalista</v>
      </c>
      <c r="C137" s="349" t="str">
        <f ca="1">WORLDCUP!AA108</f>
        <v>1L</v>
      </c>
      <c r="D137" s="693"/>
      <c r="E137" s="370"/>
      <c r="F137" s="370"/>
      <c r="G137" s="370"/>
      <c r="H137" s="370"/>
      <c r="I137" s="381"/>
      <c r="J137" s="370"/>
      <c r="K137" s="370"/>
      <c r="L137" s="370"/>
      <c r="M137" s="379"/>
      <c r="N137" s="377"/>
    </row>
    <row r="138" spans="1:14" ht="15" customHeight="1" x14ac:dyDescent="0.2">
      <c r="A138" s="690"/>
      <c r="B138" s="360" t="str">
        <f t="shared" si="0"/>
        <v>Dieciseisavofinalista</v>
      </c>
      <c r="C138" s="349" t="str">
        <f ca="1">WORLDCUP!AA109</f>
        <v>1G</v>
      </c>
      <c r="D138" s="693"/>
      <c r="E138" s="370"/>
      <c r="F138" s="370"/>
      <c r="G138" s="370"/>
      <c r="H138" s="370"/>
      <c r="I138" s="381"/>
      <c r="J138" s="370"/>
      <c r="K138" s="370"/>
      <c r="L138" s="370"/>
      <c r="M138" s="379"/>
      <c r="N138" s="377"/>
    </row>
    <row r="139" spans="1:14" ht="15" customHeight="1" x14ac:dyDescent="0.2">
      <c r="A139" s="690"/>
      <c r="B139" s="360" t="str">
        <f t="shared" si="0"/>
        <v>Dieciseisavofinalista</v>
      </c>
      <c r="C139" s="349" t="str">
        <f ca="1">WORLDCUP!AA110</f>
        <v>1D</v>
      </c>
      <c r="D139" s="693"/>
      <c r="E139" s="370"/>
      <c r="F139" s="370"/>
      <c r="G139" s="370"/>
      <c r="H139" s="370"/>
      <c r="I139" s="381"/>
      <c r="J139" s="370"/>
      <c r="K139" s="370"/>
      <c r="L139" s="370"/>
      <c r="M139" s="379"/>
      <c r="N139" s="377"/>
    </row>
    <row r="140" spans="1:14" ht="15" customHeight="1" x14ac:dyDescent="0.2">
      <c r="A140" s="690"/>
      <c r="B140" s="360" t="str">
        <f t="shared" si="0"/>
        <v>Dieciseisavofinalista</v>
      </c>
      <c r="C140" s="349" t="str">
        <f ca="1">WORLDCUP!AA111</f>
        <v>1H</v>
      </c>
      <c r="D140" s="693"/>
      <c r="E140" s="370"/>
      <c r="F140" s="370"/>
      <c r="G140" s="370"/>
      <c r="H140" s="370"/>
      <c r="I140" s="381"/>
      <c r="J140" s="370"/>
      <c r="K140" s="370"/>
      <c r="L140" s="370"/>
      <c r="M140" s="379"/>
      <c r="N140" s="377"/>
    </row>
    <row r="141" spans="1:14" ht="15" customHeight="1" x14ac:dyDescent="0.2">
      <c r="A141" s="690"/>
      <c r="B141" s="360" t="str">
        <f t="shared" si="0"/>
        <v>Dieciseisavofinalista</v>
      </c>
      <c r="C141" s="349" t="str">
        <f ca="1">WORLDCUP!AA112</f>
        <v>2K</v>
      </c>
      <c r="D141" s="693"/>
      <c r="E141" s="370"/>
      <c r="F141" s="370"/>
      <c r="G141" s="370"/>
      <c r="H141" s="370"/>
      <c r="I141" s="381"/>
      <c r="J141" s="370"/>
      <c r="K141" s="370"/>
      <c r="L141" s="370"/>
      <c r="M141" s="379"/>
      <c r="N141" s="377"/>
    </row>
    <row r="142" spans="1:14" ht="15" customHeight="1" x14ac:dyDescent="0.2">
      <c r="A142" s="690"/>
      <c r="B142" s="360" t="str">
        <f t="shared" si="0"/>
        <v>Dieciseisavofinalista</v>
      </c>
      <c r="C142" s="349" t="str">
        <f ca="1">WORLDCUP!AA113</f>
        <v>1B</v>
      </c>
      <c r="D142" s="693"/>
      <c r="E142" s="370"/>
      <c r="F142" s="370"/>
      <c r="G142" s="370"/>
      <c r="H142" s="370"/>
      <c r="I142" s="381"/>
      <c r="J142" s="370"/>
      <c r="K142" s="370"/>
      <c r="L142" s="370"/>
      <c r="M142" s="379"/>
      <c r="N142" s="377"/>
    </row>
    <row r="143" spans="1:14" ht="15" customHeight="1" x14ac:dyDescent="0.2">
      <c r="A143" s="690"/>
      <c r="B143" s="360" t="str">
        <f t="shared" si="0"/>
        <v>Dieciseisavofinalista</v>
      </c>
      <c r="C143" s="349" t="str">
        <f ca="1">WORLDCUP!AA114</f>
        <v>2D</v>
      </c>
      <c r="D143" s="693"/>
      <c r="E143" s="370"/>
      <c r="F143" s="370"/>
      <c r="G143" s="370"/>
      <c r="H143" s="370"/>
      <c r="I143" s="381"/>
      <c r="J143" s="370"/>
      <c r="K143" s="370"/>
      <c r="L143" s="370"/>
      <c r="M143" s="379"/>
      <c r="N143" s="377"/>
    </row>
    <row r="144" spans="1:14" ht="15" customHeight="1" x14ac:dyDescent="0.2">
      <c r="A144" s="690"/>
      <c r="B144" s="360" t="str">
        <f t="shared" si="0"/>
        <v>Dieciseisavofinalista</v>
      </c>
      <c r="C144" s="349" t="str">
        <f ca="1">WORLDCUP!AA115</f>
        <v>1J</v>
      </c>
      <c r="D144" s="693"/>
      <c r="E144" s="370"/>
      <c r="F144" s="370"/>
      <c r="G144" s="370"/>
      <c r="H144" s="370"/>
      <c r="I144" s="381"/>
      <c r="J144" s="370"/>
      <c r="K144" s="370"/>
      <c r="L144" s="370"/>
      <c r="M144" s="379"/>
      <c r="N144" s="377"/>
    </row>
    <row r="145" spans="1:14" ht="15" customHeight="1" x14ac:dyDescent="0.2">
      <c r="A145" s="690"/>
      <c r="B145" s="360" t="str">
        <f t="shared" si="0"/>
        <v>Dieciseisavofinalista</v>
      </c>
      <c r="C145" s="349" t="str">
        <f ca="1">WORLDCUP!AA116</f>
        <v>1K</v>
      </c>
      <c r="D145" s="693"/>
      <c r="E145" s="370"/>
      <c r="F145" s="370"/>
      <c r="G145" s="370"/>
      <c r="H145" s="370"/>
      <c r="I145" s="381"/>
      <c r="J145" s="370"/>
      <c r="K145" s="370"/>
      <c r="L145" s="370"/>
      <c r="M145" s="379"/>
      <c r="N145" s="377"/>
    </row>
    <row r="146" spans="1:14" ht="15" customHeight="1" x14ac:dyDescent="0.2">
      <c r="A146" s="690"/>
      <c r="B146" s="360" t="str">
        <f>Idiomas!$D$188</f>
        <v>Dieciseisavofinalista</v>
      </c>
      <c r="C146" s="349" t="str">
        <f ca="1">WORLDCUP!AF101</f>
        <v>2B</v>
      </c>
      <c r="D146" s="693"/>
      <c r="E146" s="370"/>
      <c r="F146" s="370"/>
      <c r="G146" s="370"/>
      <c r="H146" s="370"/>
      <c r="I146" s="381"/>
      <c r="J146" s="370"/>
      <c r="K146" s="370"/>
      <c r="L146" s="370"/>
      <c r="M146" s="379"/>
      <c r="N146" s="377"/>
    </row>
    <row r="147" spans="1:14" ht="15" customHeight="1" x14ac:dyDescent="0.2">
      <c r="A147" s="690"/>
      <c r="B147" s="360" t="str">
        <f>B146</f>
        <v>Dieciseisavofinalista</v>
      </c>
      <c r="C147" s="349" t="str">
        <f ca="1">WORLDCUP!AF102</f>
        <v>2F</v>
      </c>
      <c r="D147" s="693"/>
      <c r="E147" s="370"/>
      <c r="F147" s="370"/>
      <c r="G147" s="370"/>
      <c r="H147" s="370"/>
      <c r="I147" s="381"/>
      <c r="J147" s="370"/>
      <c r="K147" s="370"/>
      <c r="L147" s="370"/>
      <c r="M147" s="379"/>
      <c r="N147" s="377"/>
    </row>
    <row r="148" spans="1:14" ht="15" customHeight="1" x14ac:dyDescent="0.2">
      <c r="A148" s="690"/>
      <c r="B148" s="360" t="str">
        <f t="shared" ref="B148:B161" si="1">B147</f>
        <v>Dieciseisavofinalista</v>
      </c>
      <c r="C148" s="349" t="str">
        <f ca="1">WORLDCUP!AF103</f>
        <v>3ABCDF</v>
      </c>
      <c r="D148" s="693"/>
      <c r="E148" s="370"/>
      <c r="F148" s="370"/>
      <c r="G148" s="370"/>
      <c r="H148" s="370"/>
      <c r="I148" s="381"/>
      <c r="J148" s="370"/>
      <c r="K148" s="370"/>
      <c r="L148" s="370"/>
      <c r="M148" s="379"/>
      <c r="N148" s="377"/>
    </row>
    <row r="149" spans="1:14" ht="15" customHeight="1" x14ac:dyDescent="0.2">
      <c r="A149" s="690"/>
      <c r="B149" s="360" t="str">
        <f t="shared" si="1"/>
        <v>Dieciseisavofinalista</v>
      </c>
      <c r="C149" s="349" t="str">
        <f ca="1">WORLDCUP!AF104</f>
        <v>2C</v>
      </c>
      <c r="D149" s="693"/>
      <c r="E149" s="370"/>
      <c r="F149" s="370"/>
      <c r="G149" s="370"/>
      <c r="H149" s="370"/>
      <c r="I149" s="381"/>
      <c r="J149" s="370"/>
      <c r="K149" s="370"/>
      <c r="L149" s="370"/>
      <c r="M149" s="379"/>
      <c r="N149" s="377"/>
    </row>
    <row r="150" spans="1:14" ht="15" customHeight="1" x14ac:dyDescent="0.2">
      <c r="A150" s="690"/>
      <c r="B150" s="360" t="str">
        <f t="shared" si="1"/>
        <v>Dieciseisavofinalista</v>
      </c>
      <c r="C150" s="349" t="str">
        <f ca="1">WORLDCUP!AF105</f>
        <v>2I</v>
      </c>
      <c r="D150" s="693"/>
      <c r="E150" s="370"/>
      <c r="F150" s="370"/>
      <c r="G150" s="370"/>
      <c r="H150" s="370"/>
      <c r="I150" s="381"/>
      <c r="J150" s="370"/>
      <c r="K150" s="370"/>
      <c r="L150" s="370"/>
      <c r="M150" s="379"/>
      <c r="N150" s="377"/>
    </row>
    <row r="151" spans="1:14" ht="15" customHeight="1" x14ac:dyDescent="0.2">
      <c r="A151" s="690"/>
      <c r="B151" s="360" t="str">
        <f t="shared" si="1"/>
        <v>Dieciseisavofinalista</v>
      </c>
      <c r="C151" s="349" t="str">
        <f ca="1">WORLDCUP!AF106</f>
        <v>3CDFGH</v>
      </c>
      <c r="D151" s="693"/>
      <c r="E151" s="370"/>
      <c r="F151" s="370"/>
      <c r="G151" s="370"/>
      <c r="H151" s="370"/>
      <c r="I151" s="381"/>
      <c r="J151" s="370"/>
      <c r="K151" s="370"/>
      <c r="L151" s="370"/>
      <c r="M151" s="379"/>
      <c r="N151" s="377"/>
    </row>
    <row r="152" spans="1:14" ht="15" customHeight="1" x14ac:dyDescent="0.2">
      <c r="A152" s="690"/>
      <c r="B152" s="360" t="str">
        <f t="shared" si="1"/>
        <v>Dieciseisavofinalista</v>
      </c>
      <c r="C152" s="349" t="str">
        <f ca="1">WORLDCUP!AF107</f>
        <v>3CEFHI</v>
      </c>
      <c r="D152" s="693"/>
      <c r="E152" s="370"/>
      <c r="F152" s="370"/>
      <c r="G152" s="370"/>
      <c r="H152" s="370"/>
      <c r="I152" s="381"/>
      <c r="J152" s="370"/>
      <c r="K152" s="370"/>
      <c r="L152" s="370"/>
      <c r="M152" s="379"/>
      <c r="N152" s="377"/>
    </row>
    <row r="153" spans="1:14" ht="15" customHeight="1" x14ac:dyDescent="0.2">
      <c r="A153" s="690"/>
      <c r="B153" s="360" t="str">
        <f t="shared" si="1"/>
        <v>Dieciseisavofinalista</v>
      </c>
      <c r="C153" s="349" t="str">
        <f ca="1">WORLDCUP!AF108</f>
        <v>3EHIJK</v>
      </c>
      <c r="D153" s="693"/>
      <c r="E153" s="370"/>
      <c r="F153" s="370"/>
      <c r="G153" s="370"/>
      <c r="H153" s="370"/>
      <c r="I153" s="381"/>
      <c r="J153" s="370"/>
      <c r="K153" s="370"/>
      <c r="L153" s="370"/>
      <c r="M153" s="379"/>
      <c r="N153" s="377"/>
    </row>
    <row r="154" spans="1:14" ht="15" customHeight="1" x14ac:dyDescent="0.2">
      <c r="A154" s="690"/>
      <c r="B154" s="360" t="str">
        <f t="shared" si="1"/>
        <v>Dieciseisavofinalista</v>
      </c>
      <c r="C154" s="349" t="str">
        <f ca="1">WORLDCUP!AF109</f>
        <v>3AEHIJ</v>
      </c>
      <c r="D154" s="693"/>
      <c r="E154" s="370"/>
      <c r="F154" s="370"/>
      <c r="G154" s="370"/>
      <c r="H154" s="370"/>
      <c r="I154" s="381"/>
      <c r="J154" s="370"/>
      <c r="K154" s="370"/>
      <c r="L154" s="370"/>
      <c r="M154" s="379"/>
      <c r="N154" s="377"/>
    </row>
    <row r="155" spans="1:14" ht="15" customHeight="1" x14ac:dyDescent="0.2">
      <c r="A155" s="690"/>
      <c r="B155" s="360" t="str">
        <f t="shared" si="1"/>
        <v>Dieciseisavofinalista</v>
      </c>
      <c r="C155" s="349" t="str">
        <f ca="1">WORLDCUP!AF110</f>
        <v>3BEFIJ</v>
      </c>
      <c r="D155" s="693"/>
      <c r="E155" s="370"/>
      <c r="F155" s="370"/>
      <c r="G155" s="370"/>
      <c r="H155" s="370"/>
      <c r="I155" s="381"/>
      <c r="J155" s="370"/>
      <c r="K155" s="370"/>
      <c r="L155" s="370"/>
      <c r="M155" s="379"/>
      <c r="N155" s="377"/>
    </row>
    <row r="156" spans="1:14" ht="15" customHeight="1" x14ac:dyDescent="0.2">
      <c r="A156" s="690"/>
      <c r="B156" s="360" t="str">
        <f t="shared" si="1"/>
        <v>Dieciseisavofinalista</v>
      </c>
      <c r="C156" s="349" t="str">
        <f ca="1">WORLDCUP!AF111</f>
        <v>2J</v>
      </c>
      <c r="D156" s="693"/>
      <c r="E156" s="370"/>
      <c r="F156" s="370"/>
      <c r="G156" s="370"/>
      <c r="H156" s="370"/>
      <c r="I156" s="381"/>
      <c r="J156" s="370"/>
      <c r="K156" s="370"/>
      <c r="L156" s="370"/>
      <c r="M156" s="379"/>
      <c r="N156" s="377"/>
    </row>
    <row r="157" spans="1:14" ht="15" customHeight="1" x14ac:dyDescent="0.2">
      <c r="A157" s="690"/>
      <c r="B157" s="360" t="str">
        <f t="shared" si="1"/>
        <v>Dieciseisavofinalista</v>
      </c>
      <c r="C157" s="349" t="str">
        <f ca="1">WORLDCUP!AF112</f>
        <v>2L</v>
      </c>
      <c r="D157" s="693"/>
      <c r="E157" s="370"/>
      <c r="F157" s="370"/>
      <c r="G157" s="370"/>
      <c r="H157" s="370"/>
      <c r="I157" s="381"/>
      <c r="J157" s="370"/>
      <c r="K157" s="370"/>
      <c r="L157" s="370"/>
      <c r="M157" s="379"/>
      <c r="N157" s="377"/>
    </row>
    <row r="158" spans="1:14" ht="15" customHeight="1" x14ac:dyDescent="0.2">
      <c r="A158" s="690"/>
      <c r="B158" s="360" t="str">
        <f t="shared" si="1"/>
        <v>Dieciseisavofinalista</v>
      </c>
      <c r="C158" s="349" t="str">
        <f ca="1">WORLDCUP!AF113</f>
        <v>3EFGIJ</v>
      </c>
      <c r="D158" s="693"/>
      <c r="E158" s="370"/>
      <c r="F158" s="370"/>
      <c r="G158" s="370"/>
      <c r="H158" s="370"/>
      <c r="I158" s="381"/>
      <c r="J158" s="370"/>
      <c r="K158" s="370"/>
      <c r="L158" s="370"/>
      <c r="M158" s="379"/>
      <c r="N158" s="377"/>
    </row>
    <row r="159" spans="1:14" ht="15" customHeight="1" x14ac:dyDescent="0.2">
      <c r="A159" s="690"/>
      <c r="B159" s="360" t="str">
        <f t="shared" si="1"/>
        <v>Dieciseisavofinalista</v>
      </c>
      <c r="C159" s="349" t="str">
        <f ca="1">WORLDCUP!AF114</f>
        <v>2G</v>
      </c>
      <c r="D159" s="693"/>
      <c r="E159" s="370"/>
      <c r="F159" s="370"/>
      <c r="G159" s="370"/>
      <c r="H159" s="370"/>
      <c r="I159" s="381"/>
      <c r="J159" s="370"/>
      <c r="K159" s="370"/>
      <c r="L159" s="370"/>
      <c r="M159" s="379"/>
      <c r="N159" s="377"/>
    </row>
    <row r="160" spans="1:14" ht="15" customHeight="1" x14ac:dyDescent="0.2">
      <c r="A160" s="690"/>
      <c r="B160" s="360" t="str">
        <f t="shared" si="1"/>
        <v>Dieciseisavofinalista</v>
      </c>
      <c r="C160" s="349" t="str">
        <f ca="1">WORLDCUP!AF115</f>
        <v>2H</v>
      </c>
      <c r="D160" s="693"/>
      <c r="E160" s="370"/>
      <c r="F160" s="370"/>
      <c r="G160" s="370"/>
      <c r="H160" s="370"/>
      <c r="I160" s="381"/>
      <c r="J160" s="370"/>
      <c r="K160" s="370"/>
      <c r="L160" s="370"/>
      <c r="M160" s="379"/>
      <c r="N160" s="377"/>
    </row>
    <row r="161" spans="1:14" ht="15" customHeight="1" x14ac:dyDescent="0.2">
      <c r="A161" s="690"/>
      <c r="B161" s="360" t="str">
        <f t="shared" si="1"/>
        <v>Dieciseisavofinalista</v>
      </c>
      <c r="C161" s="349" t="str">
        <f ca="1">WORLDCUP!AF116</f>
        <v>3DEIJL</v>
      </c>
      <c r="D161" s="694"/>
      <c r="E161" s="372"/>
      <c r="F161" s="372"/>
      <c r="G161" s="372"/>
      <c r="H161" s="372"/>
      <c r="I161" s="382"/>
      <c r="J161" s="383"/>
      <c r="K161" s="372"/>
      <c r="L161" s="372"/>
      <c r="M161" s="384"/>
      <c r="N161" s="377"/>
    </row>
    <row r="162" spans="1:14" ht="20" customHeight="1" x14ac:dyDescent="0.2">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x14ac:dyDescent="0.25">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x14ac:dyDescent="0.2">
      <c r="A164" s="690" t="s">
        <v>493</v>
      </c>
      <c r="B164" s="360" t="str">
        <f ca="1">CONCATENATE(WORLDCUP!AA101,"-",WORLDCUP!AF101)</f>
        <v>2A-2B</v>
      </c>
      <c r="C164" s="349" t="str">
        <f ca="1">CONCATENATE(WORLDCUP!AA101,"-",WORLDCUP!AF101,"·",IF(WORLDCUP!AC101&gt;WORLDCUP!AD101,1,IF(WORLDCUP!AC101&lt;WORLDCUP!AD101,2,IF(AND(WORLDCUP!AC101=WORLDCUP!AD101,WORLDCUP!AC101&lt;&gt;"",WORLDCUP!AD101&lt;&gt;""),"X",0))),"|",WORLDCUP!AC101,"-",WORLDCUP!AD101)</f>
        <v>2A-2B·0|-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x14ac:dyDescent="0.2">
      <c r="A165" s="690"/>
      <c r="B165" s="360" t="str">
        <f ca="1">CONCATENATE(WORLDCUP!AA102,"-",WORLDCUP!AF102)</f>
        <v>1C-2F</v>
      </c>
      <c r="C165" s="349" t="str">
        <f ca="1">CONCATENATE(WORLDCUP!AA102,"-",WORLDCUP!AF102,"·",IF(WORLDCUP!AC102&gt;WORLDCUP!AD102,1,IF(WORLDCUP!AC102&lt;WORLDCUP!AD102,2,IF(AND(WORLDCUP!AC102=WORLDCUP!AD102,WORLDCUP!AC102&lt;&gt;"",WORLDCUP!AD102&lt;&gt;""),"X",0))),"|",WORLDCUP!AC102,"-",WORLDCUP!AD102)</f>
        <v>1C-2F·0|-</v>
      </c>
      <c r="D165" s="692"/>
      <c r="E165" s="711"/>
      <c r="F165" s="711"/>
      <c r="G165" s="711"/>
      <c r="H165" s="711"/>
      <c r="I165" s="352"/>
      <c r="J165" s="370"/>
      <c r="K165" s="370"/>
      <c r="L165" s="370"/>
      <c r="M165" s="386"/>
      <c r="N165" s="377"/>
    </row>
    <row r="166" spans="1:14" ht="15" customHeight="1" x14ac:dyDescent="0.2">
      <c r="A166" s="690"/>
      <c r="B166" s="360" t="str">
        <f ca="1">CONCATENATE(WORLDCUP!AA103,"-",WORLDCUP!AF103)</f>
        <v>1E-3ABCDF</v>
      </c>
      <c r="C166" s="349" t="str">
        <f ca="1">CONCATENATE(WORLDCUP!AA103,"-",WORLDCUP!AF103,"·",IF(WORLDCUP!AC103&gt;WORLDCUP!AD103,1,IF(WORLDCUP!AC103&lt;WORLDCUP!AD103,2,IF(AND(WORLDCUP!AC103=WORLDCUP!AD103,WORLDCUP!AC103&lt;&gt;"",WORLDCUP!AD103&lt;&gt;""),"X",0))),"|",WORLDCUP!AC103,"-",WORLDCUP!AD103)</f>
        <v>1E-3ABCDF·0|-</v>
      </c>
      <c r="D166" s="692"/>
      <c r="E166" s="711"/>
      <c r="F166" s="711"/>
      <c r="G166" s="711"/>
      <c r="H166" s="711"/>
      <c r="I166" s="352"/>
      <c r="J166" s="370"/>
      <c r="K166" s="370"/>
      <c r="L166" s="370"/>
      <c r="M166" s="386"/>
      <c r="N166" s="377"/>
    </row>
    <row r="167" spans="1:14" ht="15" customHeight="1" x14ac:dyDescent="0.2">
      <c r="A167" s="690"/>
      <c r="B167" s="360" t="str">
        <f ca="1">CONCATENATE(WORLDCUP!AA104,"-",WORLDCUP!AF104)</f>
        <v>1F-2C</v>
      </c>
      <c r="C167" s="349" t="str">
        <f ca="1">CONCATENATE(WORLDCUP!AA104,"-",WORLDCUP!AF104,"·",IF(WORLDCUP!AC104&gt;WORLDCUP!AD104,1,IF(WORLDCUP!AC104&lt;WORLDCUP!AD104,2,IF(AND(WORLDCUP!AC104=WORLDCUP!AD104,WORLDCUP!AC104&lt;&gt;"",WORLDCUP!AD104&lt;&gt;""),"X",0))),"|",WORLDCUP!AC104,"-",WORLDCUP!AD104)</f>
        <v>1F-2C·0|-</v>
      </c>
      <c r="D167" s="692"/>
      <c r="E167" s="711"/>
      <c r="F167" s="711"/>
      <c r="G167" s="711"/>
      <c r="H167" s="711"/>
      <c r="I167" s="352"/>
      <c r="J167" s="370"/>
      <c r="K167" s="370"/>
      <c r="L167" s="370"/>
      <c r="M167" s="386"/>
      <c r="N167" s="377"/>
    </row>
    <row r="168" spans="1:14" ht="15" customHeight="1" x14ac:dyDescent="0.2">
      <c r="A168" s="690"/>
      <c r="B168" s="360" t="str">
        <f ca="1">CONCATENATE(WORLDCUP!AA105,"-",WORLDCUP!AF105)</f>
        <v>2E-2I</v>
      </c>
      <c r="C168" s="349" t="str">
        <f ca="1">CONCATENATE(WORLDCUP!AA105,"-",WORLDCUP!AF105,"·",IF(WORLDCUP!AC105&gt;WORLDCUP!AD105,1,IF(WORLDCUP!AC105&lt;WORLDCUP!AD105,2,IF(AND(WORLDCUP!AC105=WORLDCUP!AD105,WORLDCUP!AC105&lt;&gt;"",WORLDCUP!AD105&lt;&gt;""),"X",0))),"|",WORLDCUP!AC105,"-",WORLDCUP!AD105)</f>
        <v>2E-2I·0|-</v>
      </c>
      <c r="D168" s="692"/>
      <c r="E168" s="370"/>
      <c r="F168" s="370"/>
      <c r="G168" s="370"/>
      <c r="H168" s="370"/>
      <c r="I168" s="352"/>
      <c r="J168" s="370"/>
      <c r="K168" s="370"/>
      <c r="L168" s="370"/>
      <c r="M168" s="386"/>
      <c r="N168" s="377"/>
    </row>
    <row r="169" spans="1:14" ht="15" customHeight="1" x14ac:dyDescent="0.2">
      <c r="A169" s="690"/>
      <c r="B169" s="360" t="str">
        <f ca="1">CONCATENATE(WORLDCUP!AA106,"-",WORLDCUP!AF106)</f>
        <v>1I-3CDFGH</v>
      </c>
      <c r="C169" s="349" t="str">
        <f ca="1">CONCATENATE(WORLDCUP!AA106,"-",WORLDCUP!AF106,"·",IF(WORLDCUP!AC106&gt;WORLDCUP!AD106,1,IF(WORLDCUP!AC106&lt;WORLDCUP!AD106,2,IF(AND(WORLDCUP!AC106=WORLDCUP!AD106,WORLDCUP!AC106&lt;&gt;"",WORLDCUP!AD106&lt;&gt;""),"X",0))),"|",WORLDCUP!AC106,"-",WORLDCUP!AD106)</f>
        <v>1I-3CDFGH·0|-</v>
      </c>
      <c r="D169" s="692"/>
      <c r="E169" s="370"/>
      <c r="F169" s="370"/>
      <c r="G169" s="370"/>
      <c r="H169" s="370"/>
      <c r="I169" s="352"/>
      <c r="J169" s="370"/>
      <c r="K169" s="370"/>
      <c r="L169" s="370"/>
      <c r="M169" s="386"/>
      <c r="N169" s="377"/>
    </row>
    <row r="170" spans="1:14" ht="15" customHeight="1" x14ac:dyDescent="0.2">
      <c r="A170" s="690"/>
      <c r="B170" s="360" t="str">
        <f ca="1">CONCATENATE(WORLDCUP!AA107,"-",WORLDCUP!AF107)</f>
        <v>1A-3CEFHI</v>
      </c>
      <c r="C170" s="349" t="str">
        <f ca="1">CONCATENATE(WORLDCUP!AA107,"-",WORLDCUP!AF107,"·",IF(WORLDCUP!AC107&gt;WORLDCUP!AD107,1,IF(WORLDCUP!AC107&lt;WORLDCUP!AD107,2,IF(AND(WORLDCUP!AC107=WORLDCUP!AD107,WORLDCUP!AC107&lt;&gt;"",WORLDCUP!AD107&lt;&gt;""),"X",0))),"|",WORLDCUP!AC107,"-",WORLDCUP!AD107)</f>
        <v>1A-3CEFHI·0|-</v>
      </c>
      <c r="D170" s="692"/>
      <c r="E170" s="370"/>
      <c r="F170" s="370"/>
      <c r="G170" s="370"/>
      <c r="H170" s="370"/>
      <c r="I170" s="352"/>
      <c r="J170" s="370"/>
      <c r="K170" s="370"/>
      <c r="L170" s="370"/>
      <c r="M170" s="386"/>
      <c r="N170" s="377"/>
    </row>
    <row r="171" spans="1:14" ht="15" customHeight="1" x14ac:dyDescent="0.2">
      <c r="A171" s="690"/>
      <c r="B171" s="360" t="str">
        <f ca="1">CONCATENATE(WORLDCUP!AA108,"-",WORLDCUP!AF108)</f>
        <v>1L-3EHIJK</v>
      </c>
      <c r="C171" s="349" t="str">
        <f ca="1">CONCATENATE(WORLDCUP!AA108,"-",WORLDCUP!AF108,"·",IF(WORLDCUP!AC108&gt;WORLDCUP!AD108,1,IF(WORLDCUP!AC108&lt;WORLDCUP!AD108,2,IF(AND(WORLDCUP!AC108=WORLDCUP!AD108,WORLDCUP!AC108&lt;&gt;"",WORLDCUP!AD108&lt;&gt;""),"X",0))),"|",WORLDCUP!AC108,"-",WORLDCUP!AD108)</f>
        <v>1L-3EHIJK·0|-</v>
      </c>
      <c r="D171" s="692"/>
      <c r="E171" s="370"/>
      <c r="F171" s="370"/>
      <c r="G171" s="370"/>
      <c r="H171" s="370"/>
      <c r="I171" s="352"/>
      <c r="J171" s="370"/>
      <c r="K171" s="370"/>
      <c r="L171" s="370"/>
      <c r="M171" s="386"/>
      <c r="N171" s="377"/>
    </row>
    <row r="172" spans="1:14" ht="15" customHeight="1" x14ac:dyDescent="0.2">
      <c r="A172" s="690"/>
      <c r="B172" s="360" t="str">
        <f ca="1">CONCATENATE(WORLDCUP!AA109,"-",WORLDCUP!AF109)</f>
        <v>1G-3AEHIJ</v>
      </c>
      <c r="C172" s="349" t="str">
        <f ca="1">CONCATENATE(WORLDCUP!AA109,"-",WORLDCUP!AF109,"·",IF(WORLDCUP!AC109&gt;WORLDCUP!AD109,1,IF(WORLDCUP!AC109&lt;WORLDCUP!AD109,2,IF(AND(WORLDCUP!AC109=WORLDCUP!AD109,WORLDCUP!AC109&lt;&gt;"",WORLDCUP!AD109&lt;&gt;""),"X",0))),"|",WORLDCUP!AC109,"-",WORLDCUP!AD109)</f>
        <v>1G-3AEHIJ·0|-</v>
      </c>
      <c r="D172" s="692"/>
      <c r="E172" s="370"/>
      <c r="F172" s="370"/>
      <c r="G172" s="370"/>
      <c r="H172" s="370"/>
      <c r="I172" s="352"/>
      <c r="J172" s="370"/>
      <c r="K172" s="370"/>
      <c r="L172" s="370"/>
      <c r="M172" s="386"/>
      <c r="N172" s="377"/>
    </row>
    <row r="173" spans="1:14" ht="15" customHeight="1" x14ac:dyDescent="0.2">
      <c r="A173" s="690"/>
      <c r="B173" s="360" t="str">
        <f ca="1">CONCATENATE(WORLDCUP!AA110,"-",WORLDCUP!AF110)</f>
        <v>1D-3BEFIJ</v>
      </c>
      <c r="C173" s="349" t="str">
        <f ca="1">CONCATENATE(WORLDCUP!AA110,"-",WORLDCUP!AF110,"·",IF(WORLDCUP!AC110&gt;WORLDCUP!AD110,1,IF(WORLDCUP!AC110&lt;WORLDCUP!AD110,2,IF(AND(WORLDCUP!AC110=WORLDCUP!AD110,WORLDCUP!AC110&lt;&gt;"",WORLDCUP!AD110&lt;&gt;""),"X",0))),"|",WORLDCUP!AC110,"-",WORLDCUP!AD110)</f>
        <v>1D-3BEFIJ·0|-</v>
      </c>
      <c r="D173" s="692"/>
      <c r="E173" s="370"/>
      <c r="F173" s="370"/>
      <c r="G173" s="370"/>
      <c r="H173" s="370"/>
      <c r="I173" s="352"/>
      <c r="J173" s="370"/>
      <c r="K173" s="370"/>
      <c r="L173" s="370"/>
      <c r="M173" s="386"/>
      <c r="N173" s="377"/>
    </row>
    <row r="174" spans="1:14" ht="15" customHeight="1" x14ac:dyDescent="0.2">
      <c r="A174" s="690"/>
      <c r="B174" s="360" t="str">
        <f ca="1">CONCATENATE(WORLDCUP!AA111,"-",WORLDCUP!AF111)</f>
        <v>1H-2J</v>
      </c>
      <c r="C174" s="349" t="str">
        <f ca="1">CONCATENATE(WORLDCUP!AA111,"-",WORLDCUP!AF111,"·",IF(WORLDCUP!AC111&gt;WORLDCUP!AD111,1,IF(WORLDCUP!AC111&lt;WORLDCUP!AD111,2,IF(AND(WORLDCUP!AC111=WORLDCUP!AD111,WORLDCUP!AC111&lt;&gt;"",WORLDCUP!AD111&lt;&gt;""),"X",0))),"|",WORLDCUP!AC111,"-",WORLDCUP!AD111)</f>
        <v>1H-2J·0|-</v>
      </c>
      <c r="D174" s="692"/>
      <c r="E174" s="370"/>
      <c r="F174" s="370"/>
      <c r="G174" s="370"/>
      <c r="H174" s="370"/>
      <c r="I174" s="352"/>
      <c r="J174" s="370"/>
      <c r="K174" s="370"/>
      <c r="L174" s="370"/>
      <c r="M174" s="386"/>
      <c r="N174" s="377"/>
    </row>
    <row r="175" spans="1:14" ht="15" customHeight="1" x14ac:dyDescent="0.2">
      <c r="A175" s="690"/>
      <c r="B175" s="360" t="str">
        <f ca="1">CONCATENATE(WORLDCUP!AA112,"-",WORLDCUP!AF112)</f>
        <v>2K-2L</v>
      </c>
      <c r="C175" s="349" t="str">
        <f ca="1">CONCATENATE(WORLDCUP!AA112,"-",WORLDCUP!AF112,"·",IF(WORLDCUP!AC112&gt;WORLDCUP!AD112,1,IF(WORLDCUP!AC112&lt;WORLDCUP!AD112,2,IF(AND(WORLDCUP!AC112=WORLDCUP!AD112,WORLDCUP!AC112&lt;&gt;"",WORLDCUP!AD112&lt;&gt;""),"X",0))),"|",WORLDCUP!AC112,"-",WORLDCUP!AD112)</f>
        <v>2K-2L·0|-</v>
      </c>
      <c r="D175" s="692"/>
      <c r="E175" s="370"/>
      <c r="F175" s="370"/>
      <c r="G175" s="370"/>
      <c r="H175" s="370"/>
      <c r="I175" s="352"/>
      <c r="J175" s="370"/>
      <c r="K175" s="370"/>
      <c r="L175" s="370"/>
      <c r="M175" s="386"/>
      <c r="N175" s="377"/>
    </row>
    <row r="176" spans="1:14" ht="15" customHeight="1" x14ac:dyDescent="0.2">
      <c r="A176" s="690"/>
      <c r="B176" s="360" t="str">
        <f ca="1">CONCATENATE(WORLDCUP!AA113,"-",WORLDCUP!AF113)</f>
        <v>1B-3EFGIJ</v>
      </c>
      <c r="C176" s="349" t="str">
        <f ca="1">CONCATENATE(WORLDCUP!AA113,"-",WORLDCUP!AF113,"·",IF(WORLDCUP!AC113&gt;WORLDCUP!AD113,1,IF(WORLDCUP!AC113&lt;WORLDCUP!AD113,2,IF(AND(WORLDCUP!AC113=WORLDCUP!AD113,WORLDCUP!AC113&lt;&gt;"",WORLDCUP!AD113&lt;&gt;""),"X",0))),"|",WORLDCUP!AC113,"-",WORLDCUP!AD113)</f>
        <v>1B-3EFGIJ·0|-</v>
      </c>
      <c r="D176" s="692"/>
      <c r="E176" s="370"/>
      <c r="F176" s="370"/>
      <c r="G176" s="370"/>
      <c r="H176" s="370"/>
      <c r="I176" s="352"/>
      <c r="J176" s="370"/>
      <c r="K176" s="370"/>
      <c r="L176" s="370"/>
      <c r="M176" s="386"/>
      <c r="N176" s="377"/>
    </row>
    <row r="177" spans="1:14" ht="15" customHeight="1" x14ac:dyDescent="0.2">
      <c r="A177" s="690"/>
      <c r="B177" s="360" t="str">
        <f ca="1">CONCATENATE(WORLDCUP!AA114,"-",WORLDCUP!AF114)</f>
        <v>2D-2G</v>
      </c>
      <c r="C177" s="349" t="str">
        <f ca="1">CONCATENATE(WORLDCUP!AA114,"-",WORLDCUP!AF114,"·",IF(WORLDCUP!AC114&gt;WORLDCUP!AD114,1,IF(WORLDCUP!AC114&lt;WORLDCUP!AD114,2,IF(AND(WORLDCUP!AC114=WORLDCUP!AD114,WORLDCUP!AC114&lt;&gt;"",WORLDCUP!AD114&lt;&gt;""),"X",0))),"|",WORLDCUP!AC114,"-",WORLDCUP!AD114)</f>
        <v>2D-2G·0|-</v>
      </c>
      <c r="D177" s="692"/>
      <c r="E177" s="370"/>
      <c r="F177" s="370"/>
      <c r="G177" s="370"/>
      <c r="H177" s="370"/>
      <c r="I177" s="352"/>
      <c r="J177" s="370"/>
      <c r="K177" s="370"/>
      <c r="L177" s="370"/>
      <c r="M177" s="386"/>
      <c r="N177" s="377"/>
    </row>
    <row r="178" spans="1:14" ht="15" customHeight="1" x14ac:dyDescent="0.2">
      <c r="A178" s="690"/>
      <c r="B178" s="360" t="str">
        <f ca="1">CONCATENATE(WORLDCUP!AA115,"-",WORLDCUP!AF115)</f>
        <v>1J-2H</v>
      </c>
      <c r="C178" s="349" t="str">
        <f ca="1">CONCATENATE(WORLDCUP!AA115,"-",WORLDCUP!AF115,"·",IF(WORLDCUP!AC115&gt;WORLDCUP!AD115,1,IF(WORLDCUP!AC115&lt;WORLDCUP!AD115,2,IF(AND(WORLDCUP!AC115=WORLDCUP!AD115,WORLDCUP!AC115&lt;&gt;"",WORLDCUP!AD115&lt;&gt;""),"X",0))),"|",WORLDCUP!AC115,"-",WORLDCUP!AD115)</f>
        <v>1J-2H·0|-</v>
      </c>
      <c r="D178" s="692"/>
      <c r="E178" s="370"/>
      <c r="F178" s="370"/>
      <c r="G178" s="370"/>
      <c r="H178" s="370"/>
      <c r="I178" s="352"/>
      <c r="J178" s="370"/>
      <c r="K178" s="370"/>
      <c r="L178" s="370"/>
      <c r="M178" s="386"/>
      <c r="N178" s="377"/>
    </row>
    <row r="179" spans="1:14" ht="15" customHeight="1" x14ac:dyDescent="0.2">
      <c r="A179" s="690"/>
      <c r="B179" s="360" t="str">
        <f ca="1">CONCATENATE(WORLDCUP!AA116,"-",WORLDCUP!AF116)</f>
        <v>1K-3DEIJL</v>
      </c>
      <c r="C179" s="349" t="str">
        <f ca="1">CONCATENATE(WORLDCUP!AA116,"-",WORLDCUP!AF116,"·",IF(WORLDCUP!AC116&gt;WORLDCUP!AD116,1,IF(WORLDCUP!AC116&lt;WORLDCUP!AD116,2,IF(AND(WORLDCUP!AC116=WORLDCUP!AD116,WORLDCUP!AC116&lt;&gt;"",WORLDCUP!AD116&lt;&gt;""),"X",0))),"|",WORLDCUP!AC116,"-",WORLDCUP!AD116)</f>
        <v>1K-3DEIJL·0|-</v>
      </c>
      <c r="D179" s="692"/>
      <c r="E179" s="370"/>
      <c r="F179" s="370"/>
      <c r="G179" s="370"/>
      <c r="H179" s="370"/>
      <c r="I179" s="352"/>
      <c r="J179" s="370"/>
      <c r="K179" s="370"/>
      <c r="L179" s="370"/>
      <c r="M179" s="386"/>
      <c r="N179" s="377"/>
    </row>
    <row r="180" spans="1:14" ht="15" customHeight="1" x14ac:dyDescent="0.2">
      <c r="A180" s="353"/>
      <c r="B180" s="353"/>
      <c r="C180" s="350"/>
      <c r="D180" s="692"/>
      <c r="E180" s="370"/>
      <c r="F180" s="370"/>
      <c r="G180" s="370"/>
      <c r="H180" s="370"/>
      <c r="I180" s="352"/>
      <c r="J180" s="370"/>
      <c r="K180" s="370"/>
      <c r="L180" s="370"/>
      <c r="M180" s="386"/>
      <c r="N180" s="377"/>
    </row>
    <row r="181" spans="1:14" ht="19" customHeight="1" x14ac:dyDescent="0.25">
      <c r="A181" s="353"/>
      <c r="B181" s="358" t="str">
        <f>Idiomas!D129</f>
        <v>CLASIFICADOS PARA OCTAVOS</v>
      </c>
      <c r="C181" s="350"/>
      <c r="D181" s="692"/>
      <c r="E181" s="370"/>
      <c r="F181" s="370"/>
      <c r="G181" s="370"/>
      <c r="H181" s="370"/>
      <c r="I181" s="352"/>
      <c r="J181" s="370"/>
      <c r="K181" s="370"/>
      <c r="L181" s="370"/>
      <c r="M181" s="386"/>
      <c r="N181" s="377"/>
    </row>
    <row r="182" spans="1:14" ht="15" customHeight="1" x14ac:dyDescent="0.2">
      <c r="A182" s="690" t="s">
        <v>89</v>
      </c>
      <c r="B182" s="360" t="str">
        <f>Idiomas!$D$189</f>
        <v>Octavofinalista</v>
      </c>
      <c r="C182" s="349" t="str">
        <f>WORLDCUP!AA120</f>
        <v>W73</v>
      </c>
      <c r="D182" s="692"/>
      <c r="E182" s="370"/>
      <c r="F182" s="370"/>
      <c r="G182" s="370"/>
      <c r="H182" s="370"/>
      <c r="I182" s="352"/>
      <c r="J182" s="370"/>
      <c r="K182" s="370"/>
      <c r="L182" s="370"/>
      <c r="M182" s="386"/>
      <c r="N182" s="377"/>
    </row>
    <row r="183" spans="1:14" ht="15" customHeight="1" x14ac:dyDescent="0.2">
      <c r="A183" s="690"/>
      <c r="B183" s="360" t="str">
        <f>B182</f>
        <v>Octavofinalista</v>
      </c>
      <c r="C183" s="349" t="str">
        <f>WORLDCUP!AA121</f>
        <v>W74</v>
      </c>
      <c r="D183" s="692"/>
      <c r="E183" s="370"/>
      <c r="F183" s="370"/>
      <c r="G183" s="370"/>
      <c r="H183" s="370"/>
      <c r="I183" s="352"/>
      <c r="J183" s="370"/>
      <c r="K183" s="370"/>
      <c r="L183" s="370"/>
      <c r="M183" s="386"/>
      <c r="N183" s="377"/>
    </row>
    <row r="184" spans="1:14" ht="15" customHeight="1" x14ac:dyDescent="0.2">
      <c r="A184" s="690"/>
      <c r="B184" s="360" t="str">
        <f t="shared" ref="B184:B197" si="2">B183</f>
        <v>Octavofinalista</v>
      </c>
      <c r="C184" s="349" t="str">
        <f>WORLDCUP!AA122</f>
        <v>W76</v>
      </c>
      <c r="D184" s="692"/>
      <c r="E184" s="370"/>
      <c r="F184" s="370"/>
      <c r="G184" s="370"/>
      <c r="H184" s="370"/>
      <c r="I184" s="352"/>
      <c r="J184" s="370"/>
      <c r="K184" s="370"/>
      <c r="L184" s="370"/>
      <c r="M184" s="386"/>
      <c r="N184" s="377"/>
    </row>
    <row r="185" spans="1:14" ht="15" customHeight="1" x14ac:dyDescent="0.2">
      <c r="A185" s="690"/>
      <c r="B185" s="360" t="str">
        <f t="shared" si="2"/>
        <v>Octavofinalista</v>
      </c>
      <c r="C185" s="349" t="str">
        <f>WORLDCUP!AA123</f>
        <v>W79</v>
      </c>
      <c r="D185" s="692"/>
      <c r="E185" s="370"/>
      <c r="F185" s="370"/>
      <c r="G185" s="370"/>
      <c r="H185" s="370"/>
      <c r="I185" s="352"/>
      <c r="J185" s="370"/>
      <c r="K185" s="370"/>
      <c r="L185" s="370"/>
      <c r="M185" s="386"/>
      <c r="N185" s="377"/>
    </row>
    <row r="186" spans="1:14" ht="15" customHeight="1" x14ac:dyDescent="0.2">
      <c r="A186" s="690"/>
      <c r="B186" s="360" t="str">
        <f t="shared" si="2"/>
        <v>Octavofinalista</v>
      </c>
      <c r="C186" s="349" t="str">
        <f>WORLDCUP!AA124</f>
        <v>W83</v>
      </c>
      <c r="D186" s="692"/>
      <c r="E186" s="370"/>
      <c r="F186" s="370"/>
      <c r="G186" s="370"/>
      <c r="H186" s="370"/>
      <c r="I186" s="352"/>
      <c r="J186" s="370"/>
      <c r="K186" s="370"/>
      <c r="L186" s="370"/>
      <c r="M186" s="386"/>
      <c r="N186" s="377"/>
    </row>
    <row r="187" spans="1:14" ht="15" customHeight="1" x14ac:dyDescent="0.2">
      <c r="A187" s="690"/>
      <c r="B187" s="360" t="str">
        <f t="shared" si="2"/>
        <v>Octavofinalista</v>
      </c>
      <c r="C187" s="349" t="str">
        <f>WORLDCUP!AA125</f>
        <v>W81</v>
      </c>
      <c r="D187" s="692"/>
      <c r="E187" s="370"/>
      <c r="F187" s="370"/>
      <c r="G187" s="370"/>
      <c r="H187" s="370"/>
      <c r="I187" s="352"/>
      <c r="J187" s="370"/>
      <c r="K187" s="370"/>
      <c r="L187" s="370"/>
      <c r="M187" s="386"/>
      <c r="N187" s="377"/>
    </row>
    <row r="188" spans="1:14" ht="15" customHeight="1" x14ac:dyDescent="0.2">
      <c r="A188" s="690"/>
      <c r="B188" s="360" t="str">
        <f t="shared" si="2"/>
        <v>Octavofinalista</v>
      </c>
      <c r="C188" s="349" t="str">
        <f>WORLDCUP!AA126</f>
        <v>W86</v>
      </c>
      <c r="D188" s="692"/>
      <c r="E188" s="370"/>
      <c r="F188" s="370"/>
      <c r="G188" s="370"/>
      <c r="H188" s="370"/>
      <c r="I188" s="352"/>
      <c r="J188" s="370"/>
      <c r="K188" s="370"/>
      <c r="L188" s="370"/>
      <c r="M188" s="386"/>
      <c r="N188" s="377"/>
    </row>
    <row r="189" spans="1:14" ht="15" customHeight="1" x14ac:dyDescent="0.2">
      <c r="A189" s="690"/>
      <c r="B189" s="360" t="str">
        <f t="shared" si="2"/>
        <v>Octavofinalista</v>
      </c>
      <c r="C189" s="349" t="str">
        <f>WORLDCUP!AA127</f>
        <v>W85</v>
      </c>
      <c r="D189" s="692"/>
      <c r="E189" s="370"/>
      <c r="F189" s="370"/>
      <c r="G189" s="370"/>
      <c r="H189" s="370"/>
      <c r="I189" s="352"/>
      <c r="J189" s="370"/>
      <c r="K189" s="370"/>
      <c r="L189" s="370"/>
      <c r="M189" s="386"/>
      <c r="N189" s="377"/>
    </row>
    <row r="190" spans="1:14" ht="15" customHeight="1" x14ac:dyDescent="0.2">
      <c r="A190" s="690"/>
      <c r="B190" s="360" t="str">
        <f t="shared" si="2"/>
        <v>Octavofinalista</v>
      </c>
      <c r="C190" s="349" t="str">
        <f>WORLDCUP!AF120</f>
        <v>W75</v>
      </c>
      <c r="D190" s="692"/>
      <c r="E190" s="370"/>
      <c r="F190" s="370"/>
      <c r="G190" s="370"/>
      <c r="H190" s="370"/>
      <c r="I190" s="352"/>
      <c r="J190" s="370"/>
      <c r="K190" s="370"/>
      <c r="L190" s="370"/>
      <c r="M190" s="386"/>
      <c r="N190" s="377"/>
    </row>
    <row r="191" spans="1:14" ht="15" customHeight="1" x14ac:dyDescent="0.2">
      <c r="A191" s="690"/>
      <c r="B191" s="360" t="str">
        <f t="shared" si="2"/>
        <v>Octavofinalista</v>
      </c>
      <c r="C191" s="349" t="str">
        <f>WORLDCUP!AF121</f>
        <v>W77</v>
      </c>
      <c r="D191" s="692"/>
      <c r="E191" s="370"/>
      <c r="F191" s="370"/>
      <c r="G191" s="370"/>
      <c r="H191" s="370"/>
      <c r="I191" s="352"/>
      <c r="J191" s="370"/>
      <c r="K191" s="370"/>
      <c r="L191" s="370"/>
      <c r="M191" s="386"/>
      <c r="N191" s="377"/>
    </row>
    <row r="192" spans="1:14" ht="15" customHeight="1" x14ac:dyDescent="0.2">
      <c r="A192" s="690"/>
      <c r="B192" s="360" t="str">
        <f t="shared" si="2"/>
        <v>Octavofinalista</v>
      </c>
      <c r="C192" s="349" t="str">
        <f>WORLDCUP!AF122</f>
        <v>W78</v>
      </c>
      <c r="D192" s="692"/>
      <c r="E192" s="370"/>
      <c r="F192" s="370"/>
      <c r="G192" s="370"/>
      <c r="H192" s="370"/>
      <c r="I192" s="352"/>
      <c r="J192" s="370"/>
      <c r="K192" s="370"/>
      <c r="L192" s="370"/>
      <c r="M192" s="386"/>
      <c r="N192" s="377"/>
    </row>
    <row r="193" spans="1:14" ht="15" customHeight="1" x14ac:dyDescent="0.2">
      <c r="A193" s="690"/>
      <c r="B193" s="360" t="str">
        <f t="shared" si="2"/>
        <v>Octavofinalista</v>
      </c>
      <c r="C193" s="349" t="str">
        <f>WORLDCUP!AF123</f>
        <v>W80</v>
      </c>
      <c r="D193" s="692"/>
      <c r="E193" s="370"/>
      <c r="F193" s="370"/>
      <c r="G193" s="370"/>
      <c r="H193" s="370"/>
      <c r="I193" s="352"/>
      <c r="J193" s="370"/>
      <c r="K193" s="370"/>
      <c r="L193" s="370"/>
      <c r="M193" s="386"/>
      <c r="N193" s="377"/>
    </row>
    <row r="194" spans="1:14" ht="15" customHeight="1" x14ac:dyDescent="0.2">
      <c r="A194" s="690"/>
      <c r="B194" s="360" t="str">
        <f t="shared" si="2"/>
        <v>Octavofinalista</v>
      </c>
      <c r="C194" s="349" t="str">
        <f>WORLDCUP!AF124</f>
        <v>W84</v>
      </c>
      <c r="D194" s="692"/>
      <c r="E194" s="370"/>
      <c r="F194" s="370"/>
      <c r="G194" s="370"/>
      <c r="H194" s="370"/>
      <c r="I194" s="352"/>
      <c r="J194" s="370"/>
      <c r="K194" s="370"/>
      <c r="L194" s="370"/>
      <c r="M194" s="386"/>
      <c r="N194" s="377"/>
    </row>
    <row r="195" spans="1:14" ht="15" customHeight="1" x14ac:dyDescent="0.2">
      <c r="A195" s="690"/>
      <c r="B195" s="360" t="str">
        <f t="shared" si="2"/>
        <v>Octavofinalista</v>
      </c>
      <c r="C195" s="349" t="str">
        <f>WORLDCUP!AF125</f>
        <v>W82</v>
      </c>
      <c r="D195" s="692"/>
      <c r="E195" s="370"/>
      <c r="F195" s="370"/>
      <c r="G195" s="370"/>
      <c r="H195" s="370"/>
      <c r="I195" s="352"/>
      <c r="J195" s="370"/>
      <c r="K195" s="370"/>
      <c r="L195" s="370"/>
      <c r="M195" s="386"/>
      <c r="N195" s="377"/>
    </row>
    <row r="196" spans="1:14" ht="15" customHeight="1" x14ac:dyDescent="0.2">
      <c r="A196" s="690"/>
      <c r="B196" s="360" t="str">
        <f t="shared" si="2"/>
        <v>Octavofinalista</v>
      </c>
      <c r="C196" s="349" t="str">
        <f>WORLDCUP!AF126</f>
        <v>W88</v>
      </c>
      <c r="D196" s="692"/>
      <c r="E196" s="370"/>
      <c r="F196" s="370"/>
      <c r="G196" s="370"/>
      <c r="H196" s="370"/>
      <c r="I196" s="352"/>
      <c r="J196" s="370"/>
      <c r="K196" s="370"/>
      <c r="L196" s="370"/>
      <c r="M196" s="386"/>
      <c r="N196" s="377"/>
    </row>
    <row r="197" spans="1:14" ht="15" customHeight="1" x14ac:dyDescent="0.2">
      <c r="A197" s="690"/>
      <c r="B197" s="360" t="str">
        <f t="shared" si="2"/>
        <v>Octavofinalista</v>
      </c>
      <c r="C197" s="349" t="str">
        <f>WORLDCUP!AF127</f>
        <v>W87</v>
      </c>
      <c r="D197" s="692"/>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690" t="s">
        <v>89</v>
      </c>
      <c r="B200" s="361" t="str">
        <f>CONCATENATE(WORLDCUP!AA120,"-",WORLDCUP!AF120)</f>
        <v>W73-W75</v>
      </c>
      <c r="C200" s="351" t="str">
        <f>CONCATENATE(WORLDCUP!AA120,"-",WORLDCUP!AF120,"·",IF(WORLDCUP!AC120&gt;WORLDCUP!AD120,1,IF(WORLDCUP!AC120&lt;WORLDCUP!AD120,2,IF(AND(WORLDCUP!AC120=WORLDCUP!AD120,WORLDCUP!AC120&lt;&gt;"",WORLDCUP!AD120&lt;&gt;""),"X",0))),"|",WORLDCUP!AC120,"-",WORLDCUP!AD120)</f>
        <v>W73-W75·0|-</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x14ac:dyDescent="0.2">
      <c r="A201" s="690"/>
      <c r="B201" s="361" t="str">
        <f>CONCATENATE(WORLDCUP!AA121,"-",WORLDCUP!AF121)</f>
        <v>W74-W77</v>
      </c>
      <c r="C201" s="351" t="str">
        <f>CONCATENATE(WORLDCUP!AA121,"-",WORLDCUP!AF121,"·",IF(WORLDCUP!AC121&gt;WORLDCUP!AD121,1,IF(WORLDCUP!AC121&lt;WORLDCUP!AD121,2,IF(AND(WORLDCUP!AC121=WORLDCUP!AD121,WORLDCUP!AC121&lt;&gt;"",WORLDCUP!AD121&lt;&gt;""),"X",0))),"|",WORLDCUP!AC121,"-",WORLDCUP!AD121)</f>
        <v>W74-W77·0|-</v>
      </c>
      <c r="D201" s="691"/>
      <c r="E201" s="686"/>
      <c r="F201" s="686"/>
      <c r="G201" s="686"/>
      <c r="H201" s="686"/>
      <c r="I201" s="352"/>
      <c r="J201" s="370"/>
      <c r="K201" s="370"/>
      <c r="L201" s="370"/>
      <c r="M201" s="386"/>
      <c r="N201" s="377"/>
    </row>
    <row r="202" spans="1:14" ht="15" customHeight="1" x14ac:dyDescent="0.2">
      <c r="A202" s="690"/>
      <c r="B202" s="361" t="str">
        <f>CONCATENATE(WORLDCUP!AA122,"-",WORLDCUP!AF122)</f>
        <v>W76-W78</v>
      </c>
      <c r="C202" s="351" t="str">
        <f>CONCATENATE(WORLDCUP!AA122,"-",WORLDCUP!AF122,"·",IF(WORLDCUP!AC122&gt;WORLDCUP!AD122,1,IF(WORLDCUP!AC122&lt;WORLDCUP!AD122,2,IF(AND(WORLDCUP!AC122=WORLDCUP!AD122,WORLDCUP!AC122&lt;&gt;"",WORLDCUP!AD122&lt;&gt;""),"X",0))),"|",WORLDCUP!AC122,"-",WORLDCUP!AD122)</f>
        <v>W76-W78·0|-</v>
      </c>
      <c r="D202" s="691"/>
      <c r="E202" s="686"/>
      <c r="F202" s="686"/>
      <c r="G202" s="686"/>
      <c r="H202" s="686"/>
      <c r="I202" s="352"/>
      <c r="J202" s="370"/>
      <c r="K202" s="370"/>
      <c r="L202" s="370"/>
      <c r="M202" s="386"/>
      <c r="N202" s="377"/>
    </row>
    <row r="203" spans="1:14" ht="15" customHeight="1" x14ac:dyDescent="0.2">
      <c r="A203" s="690"/>
      <c r="B203" s="361" t="str">
        <f>CONCATENATE(WORLDCUP!AA123,"-",WORLDCUP!AF123)</f>
        <v>W79-W80</v>
      </c>
      <c r="C203" s="351" t="str">
        <f>CONCATENATE(WORLDCUP!AA123,"-",WORLDCUP!AF123,"·",IF(WORLDCUP!AC123&gt;WORLDCUP!AD123,1,IF(WORLDCUP!AC123&lt;WORLDCUP!AD123,2,IF(AND(WORLDCUP!AC123=WORLDCUP!AD123,WORLDCUP!AC123&lt;&gt;"",WORLDCUP!AD123&lt;&gt;""),"X",0))),"|",WORLDCUP!AC123,"-",WORLDCUP!AD123)</f>
        <v>W79-W80·0|-</v>
      </c>
      <c r="D203" s="691"/>
      <c r="E203" s="686"/>
      <c r="F203" s="686"/>
      <c r="G203" s="686"/>
      <c r="H203" s="686"/>
      <c r="I203" s="352"/>
      <c r="J203" s="370"/>
      <c r="K203" s="370"/>
      <c r="L203" s="370"/>
      <c r="M203" s="386"/>
      <c r="N203" s="377"/>
    </row>
    <row r="204" spans="1:14" ht="15" customHeight="1" x14ac:dyDescent="0.2">
      <c r="A204" s="690"/>
      <c r="B204" s="361" t="str">
        <f>CONCATENATE(WORLDCUP!AA124,"-",WORLDCUP!AF124)</f>
        <v>W83-W84</v>
      </c>
      <c r="C204" s="351" t="str">
        <f>CONCATENATE(WORLDCUP!AA124,"-",WORLDCUP!AF124,"·",IF(WORLDCUP!AC124&gt;WORLDCUP!AD124,1,IF(WORLDCUP!AC124&lt;WORLDCUP!AD124,2,IF(AND(WORLDCUP!AC124=WORLDCUP!AD124,WORLDCUP!AC124&lt;&gt;"",WORLDCUP!AD124&lt;&gt;""),"X",0))),"|",WORLDCUP!AC124,"-",WORLDCUP!AD124)</f>
        <v>W83-W84·0|-</v>
      </c>
      <c r="D204" s="691"/>
      <c r="E204" s="352"/>
      <c r="F204" s="352"/>
      <c r="G204" s="352"/>
      <c r="H204" s="352"/>
      <c r="I204" s="352"/>
      <c r="J204" s="370"/>
      <c r="K204" s="370"/>
      <c r="L204" s="370"/>
      <c r="M204" s="386"/>
      <c r="N204" s="377"/>
    </row>
    <row r="205" spans="1:14" ht="15" customHeight="1" x14ac:dyDescent="0.2">
      <c r="A205" s="690"/>
      <c r="B205" s="361" t="str">
        <f>CONCATENATE(WORLDCUP!AA125,"-",WORLDCUP!AF125)</f>
        <v>W81-W82</v>
      </c>
      <c r="C205" s="351" t="str">
        <f>CONCATENATE(WORLDCUP!AA125,"-",WORLDCUP!AF125,"·",IF(WORLDCUP!AC125&gt;WORLDCUP!AD125,1,IF(WORLDCUP!AC125&lt;WORLDCUP!AD125,2,IF(AND(WORLDCUP!AC125=WORLDCUP!AD125,WORLDCUP!AC125&lt;&gt;"",WORLDCUP!AD125&lt;&gt;""),"X",0))),"|",WORLDCUP!AC125,"-",WORLDCUP!AD125)</f>
        <v>W81-W82·0|-</v>
      </c>
      <c r="D205" s="691"/>
      <c r="E205" s="352"/>
      <c r="F205" s="352"/>
      <c r="G205" s="352"/>
      <c r="H205" s="352"/>
      <c r="I205" s="352"/>
      <c r="J205" s="370"/>
      <c r="K205" s="370"/>
      <c r="L205" s="370"/>
      <c r="M205" s="386"/>
      <c r="N205" s="377"/>
    </row>
    <row r="206" spans="1:14" ht="15" customHeight="1" x14ac:dyDescent="0.2">
      <c r="A206" s="690"/>
      <c r="B206" s="361" t="str">
        <f>CONCATENATE(WORLDCUP!AA126,"-",WORLDCUP!AF126)</f>
        <v>W86-W88</v>
      </c>
      <c r="C206" s="351" t="str">
        <f>CONCATENATE(WORLDCUP!AA126,"-",WORLDCUP!AF126,"·",IF(WORLDCUP!AC126&gt;WORLDCUP!AD126,1,IF(WORLDCUP!AC126&lt;WORLDCUP!AD126,2,IF(AND(WORLDCUP!AC126=WORLDCUP!AD126,WORLDCUP!AC126&lt;&gt;"",WORLDCUP!AD126&lt;&gt;""),"X",0))),"|",WORLDCUP!AC126,"-",WORLDCUP!AD126)</f>
        <v>W86-W88·0|-</v>
      </c>
      <c r="D206" s="691"/>
      <c r="E206" s="352"/>
      <c r="F206" s="352"/>
      <c r="G206" s="352"/>
      <c r="H206" s="352"/>
      <c r="I206" s="352"/>
      <c r="J206" s="370"/>
      <c r="K206" s="370"/>
      <c r="L206" s="370"/>
      <c r="M206" s="386"/>
      <c r="N206" s="377"/>
    </row>
    <row r="207" spans="1:14" ht="15" customHeight="1" x14ac:dyDescent="0.2">
      <c r="A207" s="690"/>
      <c r="B207" s="361" t="str">
        <f>CONCATENATE(WORLDCUP!AA127,"-",WORLDCUP!AF127)</f>
        <v>W85-W87</v>
      </c>
      <c r="C207" s="351" t="str">
        <f>CONCATENATE(WORLDCUP!AA127,"-",WORLDCUP!AF127,"·",IF(WORLDCUP!AC127&gt;WORLDCUP!AD127,1,IF(WORLDCUP!AC127&lt;WORLDCUP!AD127,2,IF(AND(WORLDCUP!AC127=WORLDCUP!AD127,WORLDCUP!AC127&lt;&gt;"",WORLDCUP!AD127&lt;&gt;""),"X",0))),"|",WORLDCUP!AC127,"-",WORLDCUP!AD127)</f>
        <v>W85-W87·0|-</v>
      </c>
      <c r="D207" s="691"/>
      <c r="E207" s="352"/>
      <c r="F207" s="352"/>
      <c r="G207" s="352"/>
      <c r="H207" s="352"/>
      <c r="I207" s="352"/>
      <c r="J207" s="370"/>
      <c r="K207" s="370"/>
      <c r="L207" s="370"/>
      <c r="M207" s="386"/>
      <c r="N207" s="377"/>
    </row>
    <row r="208" spans="1:14" ht="15" customHeight="1" x14ac:dyDescent="0.2">
      <c r="A208" s="353"/>
      <c r="B208" s="353"/>
      <c r="C208" s="350"/>
      <c r="D208" s="691"/>
      <c r="E208" s="370"/>
      <c r="F208" s="370"/>
      <c r="G208" s="370"/>
      <c r="H208" s="370"/>
      <c r="I208" s="352"/>
      <c r="J208" s="370"/>
      <c r="K208" s="370"/>
      <c r="L208" s="370"/>
      <c r="M208" s="386"/>
      <c r="N208" s="377"/>
    </row>
    <row r="209" spans="1:14" ht="19" customHeight="1" x14ac:dyDescent="0.25">
      <c r="A209" s="353"/>
      <c r="B209" s="358" t="str">
        <f>Idiomas!D131</f>
        <v>CLASIFICADOS PARA CUARTOS</v>
      </c>
      <c r="C209" s="350"/>
      <c r="D209" s="691"/>
      <c r="E209" s="370"/>
      <c r="F209" s="370"/>
      <c r="G209" s="370"/>
      <c r="H209" s="370"/>
      <c r="I209" s="352"/>
      <c r="J209" s="370"/>
      <c r="K209" s="370"/>
      <c r="L209" s="370"/>
      <c r="M209" s="386"/>
      <c r="N209" s="377"/>
    </row>
    <row r="210" spans="1:14" ht="15" customHeight="1" x14ac:dyDescent="0.2">
      <c r="A210" s="690" t="s">
        <v>36</v>
      </c>
      <c r="B210" s="360" t="str">
        <f>Idiomas!$D$190</f>
        <v>Cuartofinalista</v>
      </c>
      <c r="C210" s="349" t="str">
        <f>WORLDCUP!AA131</f>
        <v>W89</v>
      </c>
      <c r="D210" s="691"/>
      <c r="E210" s="370"/>
      <c r="F210" s="370"/>
      <c r="G210" s="370"/>
      <c r="H210" s="370"/>
      <c r="I210" s="352"/>
      <c r="J210" s="370"/>
      <c r="K210" s="370"/>
      <c r="L210" s="370"/>
      <c r="M210" s="386"/>
      <c r="N210" s="377"/>
    </row>
    <row r="211" spans="1:14" ht="15" customHeight="1" x14ac:dyDescent="0.2">
      <c r="A211" s="690"/>
      <c r="B211" s="360" t="str">
        <f>B210</f>
        <v>Cuartofinalista</v>
      </c>
      <c r="C211" s="349" t="str">
        <f>WORLDCUP!AA132</f>
        <v>W93</v>
      </c>
      <c r="D211" s="691"/>
      <c r="E211" s="370"/>
      <c r="F211" s="370"/>
      <c r="G211" s="370"/>
      <c r="H211" s="370"/>
      <c r="I211" s="352"/>
      <c r="J211" s="370"/>
      <c r="K211" s="370"/>
      <c r="L211" s="370"/>
      <c r="M211" s="386"/>
      <c r="N211" s="377"/>
    </row>
    <row r="212" spans="1:14" ht="15" customHeight="1" x14ac:dyDescent="0.2">
      <c r="A212" s="690"/>
      <c r="B212" s="360" t="str">
        <f t="shared" ref="B212:B217" si="3">B211</f>
        <v>Cuartofinalista</v>
      </c>
      <c r="C212" s="349" t="str">
        <f>WORLDCUP!AA133</f>
        <v>W91</v>
      </c>
      <c r="D212" s="691"/>
      <c r="E212" s="370"/>
      <c r="F212" s="370"/>
      <c r="G212" s="370"/>
      <c r="H212" s="370"/>
      <c r="I212" s="352"/>
      <c r="J212" s="370"/>
      <c r="K212" s="370"/>
      <c r="L212" s="370"/>
      <c r="M212" s="386"/>
      <c r="N212" s="377"/>
    </row>
    <row r="213" spans="1:14" ht="15" customHeight="1" x14ac:dyDescent="0.2">
      <c r="A213" s="690"/>
      <c r="B213" s="360" t="str">
        <f t="shared" si="3"/>
        <v>Cuartofinalista</v>
      </c>
      <c r="C213" s="349" t="str">
        <f>WORLDCUP!AA134</f>
        <v>W95</v>
      </c>
      <c r="D213" s="691"/>
      <c r="E213" s="370"/>
      <c r="F213" s="370"/>
      <c r="G213" s="370"/>
      <c r="H213" s="370"/>
      <c r="I213" s="352"/>
      <c r="J213" s="370"/>
      <c r="K213" s="370"/>
      <c r="L213" s="370"/>
      <c r="M213" s="386"/>
      <c r="N213" s="377"/>
    </row>
    <row r="214" spans="1:14" ht="15" customHeight="1" x14ac:dyDescent="0.2">
      <c r="A214" s="690"/>
      <c r="B214" s="360" t="str">
        <f t="shared" si="3"/>
        <v>Cuartofinalista</v>
      </c>
      <c r="C214" s="349" t="str">
        <f>WORLDCUP!AF131</f>
        <v>W90</v>
      </c>
      <c r="D214" s="691"/>
      <c r="E214" s="370"/>
      <c r="F214" s="370"/>
      <c r="G214" s="370"/>
      <c r="H214" s="370"/>
      <c r="I214" s="352"/>
      <c r="J214" s="370"/>
      <c r="K214" s="370"/>
      <c r="L214" s="370"/>
      <c r="M214" s="386"/>
      <c r="N214" s="377"/>
    </row>
    <row r="215" spans="1:14" ht="15" customHeight="1" x14ac:dyDescent="0.2">
      <c r="A215" s="690"/>
      <c r="B215" s="360" t="str">
        <f t="shared" si="3"/>
        <v>Cuartofinalista</v>
      </c>
      <c r="C215" s="349" t="str">
        <f>WORLDCUP!AF132</f>
        <v>W94</v>
      </c>
      <c r="D215" s="691"/>
      <c r="E215" s="370"/>
      <c r="F215" s="370"/>
      <c r="G215" s="370"/>
      <c r="H215" s="370"/>
      <c r="I215" s="352"/>
      <c r="J215" s="370"/>
      <c r="K215" s="370"/>
      <c r="L215" s="370"/>
      <c r="M215" s="386"/>
      <c r="N215" s="377"/>
    </row>
    <row r="216" spans="1:14" ht="15" customHeight="1" x14ac:dyDescent="0.2">
      <c r="A216" s="690"/>
      <c r="B216" s="360" t="str">
        <f t="shared" si="3"/>
        <v>Cuartofinalista</v>
      </c>
      <c r="C216" s="349" t="str">
        <f>WORLDCUP!AF133</f>
        <v>W92</v>
      </c>
      <c r="D216" s="691"/>
      <c r="E216" s="370"/>
      <c r="F216" s="370"/>
      <c r="G216" s="370"/>
      <c r="H216" s="370"/>
      <c r="I216" s="352"/>
      <c r="J216" s="370"/>
      <c r="K216" s="370"/>
      <c r="L216" s="370"/>
      <c r="M216" s="386"/>
      <c r="N216" s="377"/>
    </row>
    <row r="217" spans="1:14" ht="15" customHeight="1" x14ac:dyDescent="0.2">
      <c r="A217" s="690"/>
      <c r="B217" s="360" t="str">
        <f t="shared" si="3"/>
        <v>Cuartofinalista</v>
      </c>
      <c r="C217" s="349" t="str">
        <f>WORLDCUP!AF134</f>
        <v>W96</v>
      </c>
      <c r="D217" s="691"/>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690" t="s">
        <v>36</v>
      </c>
      <c r="B220" s="360" t="str">
        <f>CONCATENATE(WORLDCUP!AA131,"-",WORLDCUP!AF131)</f>
        <v>W89-W90</v>
      </c>
      <c r="C220" s="349" t="str">
        <f>CONCATENATE(WORLDCUP!AA131,"-",WORLDCUP!AF131,"·",IF(WORLDCUP!AC131&gt;WORLDCUP!AD131,1,IF(WORLDCUP!AC131&lt;WORLDCUP!AD131,2,IF(AND(WORLDCUP!AC131=WORLDCUP!AD131,WORLDCUP!AC131&lt;&gt;"",WORLDCUP!AD131&lt;&gt;""),"X",0))),"|",WORLDCUP!AC131,"-",WORLDCUP!AD131)</f>
        <v>W89-W90·0|-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x14ac:dyDescent="0.2">
      <c r="A221" s="690"/>
      <c r="B221" s="360" t="str">
        <f>CONCATENATE(WORLDCUP!AA132,"-",WORLDCUP!AF132)</f>
        <v>W93-W94</v>
      </c>
      <c r="C221" s="349" t="str">
        <f>CONCATENATE(WORLDCUP!AA132,"-",WORLDCUP!AF132,"·",IF(WORLDCUP!AC132&gt;WORLDCUP!AD132,1,IF(WORLDCUP!AC132&lt;WORLDCUP!AD132,2,IF(AND(WORLDCUP!AC132=WORLDCUP!AD132,WORLDCUP!AC132&lt;&gt;"",WORLDCUP!AD132&lt;&gt;""),"X",0))),"|",WORLDCUP!AC132,"-",WORLDCUP!AD132)</f>
        <v>W93-W94·0|-</v>
      </c>
      <c r="D221" s="692"/>
      <c r="E221" s="686"/>
      <c r="F221" s="686"/>
      <c r="G221" s="686"/>
      <c r="H221" s="686"/>
      <c r="I221" s="352"/>
      <c r="J221" s="370"/>
      <c r="K221" s="370"/>
      <c r="L221" s="370"/>
      <c r="M221" s="386"/>
      <c r="N221" s="377"/>
    </row>
    <row r="222" spans="1:14" ht="15" customHeight="1" x14ac:dyDescent="0.2">
      <c r="A222" s="690"/>
      <c r="B222" s="360" t="str">
        <f>CONCATENATE(WORLDCUP!AA133,"-",WORLDCUP!AF133)</f>
        <v>W91-W92</v>
      </c>
      <c r="C222" s="349" t="str">
        <f>CONCATENATE(WORLDCUP!AA133,"-",WORLDCUP!AF133,"·",IF(WORLDCUP!AC133&gt;WORLDCUP!AD133,1,IF(WORLDCUP!AC133&lt;WORLDCUP!AD133,2,IF(AND(WORLDCUP!AC133=WORLDCUP!AD133,WORLDCUP!AC133&lt;&gt;"",WORLDCUP!AD133&lt;&gt;""),"X",0))),"|",WORLDCUP!AC133,"-",WORLDCUP!AD133)</f>
        <v>W91-W92·0|-</v>
      </c>
      <c r="D222" s="692"/>
      <c r="E222" s="686"/>
      <c r="F222" s="686"/>
      <c r="G222" s="686"/>
      <c r="H222" s="686"/>
      <c r="I222" s="352"/>
      <c r="J222" s="370"/>
      <c r="K222" s="370"/>
      <c r="L222" s="370"/>
      <c r="M222" s="386"/>
      <c r="N222" s="377"/>
    </row>
    <row r="223" spans="1:14" ht="15" customHeight="1" x14ac:dyDescent="0.2">
      <c r="A223" s="690"/>
      <c r="B223" s="360" t="str">
        <f>CONCATENATE(WORLDCUP!AA134,"-",WORLDCUP!AF134)</f>
        <v>W95-W96</v>
      </c>
      <c r="C223" s="349" t="str">
        <f>CONCATENATE(WORLDCUP!AA134,"-",WORLDCUP!AF134,"·",IF(WORLDCUP!AC134&gt;WORLDCUP!AD134,1,IF(WORLDCUP!AC134&lt;WORLDCUP!AD134,2,IF(AND(WORLDCUP!AC134=WORLDCUP!AD134,WORLDCUP!AC134&lt;&gt;"",WORLDCUP!AD134&lt;&gt;""),"X",0))),"|",WORLDCUP!AC134,"-",WORLDCUP!AD134)</f>
        <v>W95-W96·0|-</v>
      </c>
      <c r="D223" s="692"/>
      <c r="E223" s="686"/>
      <c r="F223" s="686"/>
      <c r="G223" s="686"/>
      <c r="H223" s="686"/>
      <c r="I223" s="352"/>
      <c r="J223" s="370"/>
      <c r="K223" s="370"/>
      <c r="L223" s="370"/>
      <c r="M223" s="386"/>
      <c r="N223" s="377"/>
    </row>
    <row r="224" spans="1:14" x14ac:dyDescent="0.2">
      <c r="A224" s="353"/>
      <c r="B224" s="353"/>
      <c r="C224" s="350"/>
      <c r="D224" s="692"/>
      <c r="E224" s="352"/>
      <c r="F224" s="352"/>
      <c r="G224" s="352"/>
      <c r="H224" s="352"/>
      <c r="I224" s="352"/>
      <c r="J224" s="370"/>
      <c r="K224" s="370"/>
      <c r="L224" s="370"/>
      <c r="M224" s="386"/>
      <c r="N224" s="377"/>
    </row>
    <row r="225" spans="1:14" ht="19" x14ac:dyDescent="0.25">
      <c r="A225" s="353"/>
      <c r="B225" s="358" t="str">
        <f>Idiomas!D133</f>
        <v>CLASIFICADOS PARA SEMIFINALES</v>
      </c>
      <c r="C225" s="350"/>
      <c r="D225" s="692"/>
      <c r="E225" s="370"/>
      <c r="F225" s="370"/>
      <c r="G225" s="370"/>
      <c r="H225" s="370"/>
      <c r="I225" s="352"/>
      <c r="J225" s="370"/>
      <c r="K225" s="370"/>
      <c r="L225" s="370"/>
      <c r="M225" s="386"/>
      <c r="N225" s="377"/>
    </row>
    <row r="226" spans="1:14" ht="15" customHeight="1" x14ac:dyDescent="0.2">
      <c r="A226" s="690" t="s">
        <v>37</v>
      </c>
      <c r="B226" s="360" t="str">
        <f>Idiomas!$D$191</f>
        <v>Semifinalista</v>
      </c>
      <c r="C226" s="349" t="str">
        <f>WORLDCUP!AA138</f>
        <v>W97</v>
      </c>
      <c r="D226" s="692"/>
      <c r="E226" s="370"/>
      <c r="F226" s="370"/>
      <c r="G226" s="370"/>
      <c r="H226" s="370"/>
      <c r="I226" s="352"/>
      <c r="J226" s="370"/>
      <c r="K226" s="370"/>
      <c r="L226" s="370"/>
      <c r="M226" s="386"/>
      <c r="N226" s="377"/>
    </row>
    <row r="227" spans="1:14" ht="15" customHeight="1" x14ac:dyDescent="0.2">
      <c r="A227" s="690"/>
      <c r="B227" s="360" t="str">
        <f>Idiomas!$D$191</f>
        <v>Semifinalista</v>
      </c>
      <c r="C227" s="349" t="str">
        <f>WORLDCUP!AA139</f>
        <v>W99</v>
      </c>
      <c r="D227" s="692"/>
      <c r="E227" s="370"/>
      <c r="F227" s="370"/>
      <c r="G227" s="370"/>
      <c r="H227" s="370"/>
      <c r="I227" s="352"/>
      <c r="J227" s="370"/>
      <c r="K227" s="370"/>
      <c r="L227" s="370"/>
      <c r="M227" s="386"/>
      <c r="N227" s="377"/>
    </row>
    <row r="228" spans="1:14" ht="15" customHeight="1" x14ac:dyDescent="0.2">
      <c r="A228" s="690"/>
      <c r="B228" s="360" t="str">
        <f>Idiomas!$D$191</f>
        <v>Semifinalista</v>
      </c>
      <c r="C228" s="349" t="str">
        <f>WORLDCUP!AF138</f>
        <v>W98</v>
      </c>
      <c r="D228" s="692"/>
      <c r="E228" s="370"/>
      <c r="F228" s="370"/>
      <c r="G228" s="370"/>
      <c r="H228" s="370"/>
      <c r="I228" s="352"/>
      <c r="J228" s="370"/>
      <c r="K228" s="370"/>
      <c r="L228" s="370"/>
      <c r="M228" s="386"/>
      <c r="N228" s="377"/>
    </row>
    <row r="229" spans="1:14" ht="15" customHeight="1" x14ac:dyDescent="0.2">
      <c r="A229" s="690"/>
      <c r="B229" s="360" t="str">
        <f>Idiomas!$D$191</f>
        <v>Semifinalista</v>
      </c>
      <c r="C229" s="349" t="str">
        <f>WORLDCUP!AF139</f>
        <v>W100</v>
      </c>
      <c r="D229" s="692"/>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688" t="s">
        <v>37</v>
      </c>
      <c r="B232" s="360" t="str">
        <f>CONCATENATE(WORLDCUP!AA138,"-",WORLDCUP!AF138)</f>
        <v>W97-W98</v>
      </c>
      <c r="C232" s="351" t="str">
        <f>CONCATENATE(WORLDCUP!AA138,"-",WORLDCUP!AF138,"·",IF(WORLDCUP!AC138&gt;WORLDCUP!AD138,1,IF(WORLDCUP!AC138&lt;WORLDCUP!AD138,2,IF(AND(WORLDCUP!AC138=WORLDCUP!AD138,WORLDCUP!AC138&lt;&gt;"",WORLDCUP!AD138&lt;&gt;""),"X",0))),"|",WORLDCUP!AC138,"-",WORLDCUP!AD138)</f>
        <v>W97-W98·0|-</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x14ac:dyDescent="0.2">
      <c r="A233" s="688"/>
      <c r="B233" s="360" t="str">
        <f>CONCATENATE(WORLDCUP!AA139,"-",WORLDCUP!AF139)</f>
        <v>W99-W100</v>
      </c>
      <c r="C233" s="351" t="str">
        <f>CONCATENATE(WORLDCUP!AA139,"-",WORLDCUP!AF139,"·",IF(WORLDCUP!AC139&gt;WORLDCUP!AD139,1,IF(WORLDCUP!AC139&lt;WORLDCUP!AD139,2,IF(AND(WORLDCUP!AC139=WORLDCUP!AD139,WORLDCUP!AC139&lt;&gt;"",WORLDCUP!AD139&lt;&gt;""),"X",0))),"|",WORLDCUP!AC139,"-",WORLDCUP!AD139)</f>
        <v>W99-W100·0|-</v>
      </c>
      <c r="D233" s="691"/>
      <c r="E233" s="686"/>
      <c r="F233" s="686"/>
      <c r="G233" s="686"/>
      <c r="H233" s="686"/>
      <c r="I233" s="352"/>
      <c r="J233" s="370"/>
      <c r="K233" s="370"/>
      <c r="L233" s="370"/>
      <c r="M233" s="386"/>
      <c r="N233" s="377"/>
    </row>
    <row r="234" spans="1:14" ht="15" customHeight="1" x14ac:dyDescent="0.2">
      <c r="A234" s="353"/>
      <c r="B234" s="353"/>
      <c r="C234" s="350"/>
      <c r="D234" s="691"/>
      <c r="E234" s="686"/>
      <c r="F234" s="686"/>
      <c r="G234" s="686"/>
      <c r="H234" s="686"/>
      <c r="I234" s="352"/>
      <c r="J234" s="370"/>
      <c r="K234" s="370"/>
      <c r="L234" s="370"/>
      <c r="M234" s="386"/>
      <c r="N234" s="377"/>
    </row>
    <row r="235" spans="1:14" ht="19" x14ac:dyDescent="0.2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x14ac:dyDescent="0.2">
      <c r="A236" s="688" t="s">
        <v>503</v>
      </c>
      <c r="B236" s="360" t="str">
        <f>Idiomas!D192</f>
        <v>3º y 4º puesto</v>
      </c>
      <c r="C236" s="349" t="str">
        <f>WORLDCUP!AA143</f>
        <v>L101</v>
      </c>
      <c r="D236" s="691"/>
      <c r="E236" s="374"/>
      <c r="F236" s="374"/>
      <c r="G236" s="374"/>
      <c r="H236" s="374"/>
      <c r="I236" s="352"/>
      <c r="J236" s="370"/>
      <c r="K236" s="370"/>
      <c r="L236" s="370"/>
      <c r="M236" s="386"/>
      <c r="N236" s="377"/>
    </row>
    <row r="237" spans="1:14" ht="15" customHeight="1" x14ac:dyDescent="0.2">
      <c r="A237" s="688"/>
      <c r="B237" s="360" t="str">
        <f>Idiomas!D192</f>
        <v>3º y 4º puesto</v>
      </c>
      <c r="C237" s="349" t="str">
        <f>WORLDCUP!AF143</f>
        <v>L102</v>
      </c>
      <c r="D237" s="691"/>
      <c r="E237" s="374"/>
      <c r="F237" s="374"/>
      <c r="G237" s="374"/>
      <c r="H237" s="374"/>
      <c r="I237" s="352"/>
      <c r="J237" s="370"/>
      <c r="K237" s="370"/>
      <c r="L237" s="370"/>
      <c r="M237" s="386"/>
      <c r="N237" s="377"/>
    </row>
    <row r="238" spans="1:14" ht="15" customHeight="1" x14ac:dyDescent="0.2">
      <c r="A238" s="353"/>
      <c r="B238" s="353"/>
      <c r="C238" s="350"/>
      <c r="D238" s="691"/>
      <c r="E238" s="374"/>
      <c r="F238" s="374"/>
      <c r="G238" s="374"/>
      <c r="H238" s="374"/>
      <c r="I238" s="352"/>
      <c r="J238" s="370"/>
      <c r="K238" s="370"/>
      <c r="L238" s="370"/>
      <c r="M238" s="386"/>
      <c r="N238" s="377"/>
    </row>
    <row r="239" spans="1:14" ht="19" customHeight="1" x14ac:dyDescent="0.25">
      <c r="A239" s="353"/>
      <c r="B239" s="358" t="str">
        <f>Idiomas!D136</f>
        <v>CLASIFICADOS PARA LA FINAL</v>
      </c>
      <c r="C239" s="350"/>
      <c r="D239" s="691"/>
      <c r="E239" s="374"/>
      <c r="F239" s="374"/>
      <c r="G239" s="374"/>
      <c r="H239" s="374"/>
      <c r="I239" s="352"/>
      <c r="J239" s="370"/>
      <c r="K239" s="370"/>
      <c r="L239" s="370"/>
      <c r="M239" s="386"/>
      <c r="N239" s="377"/>
    </row>
    <row r="240" spans="1:14" ht="15" customHeight="1" x14ac:dyDescent="0.2">
      <c r="A240" s="688" t="s">
        <v>4</v>
      </c>
      <c r="B240" s="360" t="str">
        <f>Idiomas!D193</f>
        <v>Finalista</v>
      </c>
      <c r="C240" s="349" t="str">
        <f>WORLDCUP!AA147</f>
        <v>W101</v>
      </c>
      <c r="D240" s="691"/>
      <c r="E240" s="370"/>
      <c r="F240" s="370"/>
      <c r="G240" s="370"/>
      <c r="H240" s="370"/>
      <c r="I240" s="352"/>
      <c r="J240" s="370"/>
      <c r="K240" s="370"/>
      <c r="L240" s="370"/>
      <c r="M240" s="386"/>
      <c r="N240" s="377"/>
    </row>
    <row r="241" spans="1:14" ht="15" customHeight="1" x14ac:dyDescent="0.2">
      <c r="A241" s="688"/>
      <c r="B241" s="360" t="str">
        <f>B240</f>
        <v>Finalista</v>
      </c>
      <c r="C241" s="349" t="str">
        <f>WORLDCUP!AF147</f>
        <v>W102</v>
      </c>
      <c r="D241" s="691"/>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CONCATENATE(WORLDCUP!AA143,"-",WORLDCUP!AF143)</f>
        <v>L101-L102</v>
      </c>
      <c r="C244" s="349" t="str">
        <f>CONCATENATE(WORLDCUP!AA143,"-",WORLDCUP!AF143,"·",IF(WORLDCUP!AC143&gt;WORLDCUP!AD143,1,IF(WORLDCUP!AC143&lt;WORLDCUP!AD143,2,IF(AND(WORLDCUP!AC143=WORLDCUP!AD143,WORLDCUP!AC143&lt;&gt;"",WORLDCUP!AD143&lt;&gt;""),"X",0))),"|",WORLDCUP!AC143,"-",WORLDCUP!AD143)</f>
        <v>L101-L102·0|-</v>
      </c>
      <c r="D244" s="689" t="s">
        <v>583</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x14ac:dyDescent="0.2">
      <c r="A245" s="353"/>
      <c r="B245" s="353"/>
      <c r="C245" s="350"/>
      <c r="D245" s="689"/>
      <c r="E245" s="687"/>
      <c r="F245" s="687"/>
      <c r="G245" s="687"/>
      <c r="H245" s="687"/>
      <c r="I245" s="381"/>
      <c r="J245" s="370"/>
      <c r="K245" s="370"/>
      <c r="L245" s="370"/>
      <c r="M245" s="386"/>
      <c r="N245" s="377"/>
    </row>
    <row r="246" spans="1:14" ht="21" customHeight="1" x14ac:dyDescent="0.25">
      <c r="A246" s="353"/>
      <c r="B246" s="358" t="str">
        <f>Idiomas!D138</f>
        <v>ENFRENTAMIENTO FINAL</v>
      </c>
      <c r="C246" s="350"/>
      <c r="D246" s="689"/>
      <c r="E246" s="687"/>
      <c r="F246" s="687"/>
      <c r="G246" s="687"/>
      <c r="H246" s="687"/>
      <c r="I246" s="381"/>
      <c r="J246" s="370"/>
      <c r="K246" s="370"/>
      <c r="L246" s="370"/>
      <c r="M246" s="386"/>
      <c r="N246" s="377"/>
    </row>
    <row r="247" spans="1:14" ht="15" customHeight="1" x14ac:dyDescent="0.2">
      <c r="A247" s="362" t="s">
        <v>4</v>
      </c>
      <c r="B247" s="360" t="str">
        <f>CONCATENATE(WORLDCUP!AA147,"-",WORLDCUP!AF147)</f>
        <v>W101-W102</v>
      </c>
      <c r="C247" s="351" t="str">
        <f>CONCATENATE(WORLDCUP!AA147,"-",WORLDCUP!AF147,"·",IF(WORLDCUP!AC147&gt;WORLDCUP!AD147,1,IF(WORLDCUP!AC147&lt;WORLDCUP!AD147,2,IF(AND(WORLDCUP!AC147=WORLDCUP!AD147,WORLDCUP!AC147&lt;&gt;"",WORLDCUP!AD147&lt;&gt;""),"X",0))),"|",WORLDCUP!AC147,"-",WORLDCUP!AD147)</f>
        <v>W101-W102·0|-</v>
      </c>
      <c r="D247" s="689"/>
      <c r="E247" s="376"/>
      <c r="F247" s="376"/>
      <c r="G247" s="376"/>
      <c r="H247" s="376"/>
      <c r="I247" s="381"/>
      <c r="J247" s="370"/>
      <c r="K247" s="370"/>
      <c r="L247" s="370"/>
      <c r="M247" s="386"/>
      <c r="N247" s="377"/>
    </row>
    <row r="248" spans="1:14" ht="15" customHeight="1" x14ac:dyDescent="0.2">
      <c r="A248" s="353"/>
      <c r="B248" s="353"/>
      <c r="C248" s="350"/>
      <c r="D248" s="689"/>
      <c r="E248" s="374"/>
      <c r="F248" s="374"/>
      <c r="G248" s="374"/>
      <c r="H248" s="374"/>
      <c r="I248" s="381"/>
      <c r="J248" s="370"/>
      <c r="K248" s="370"/>
      <c r="L248" s="370"/>
      <c r="M248" s="386"/>
      <c r="N248" s="377"/>
    </row>
    <row r="249" spans="1:14" ht="19" customHeight="1" x14ac:dyDescent="0.25">
      <c r="A249" s="353"/>
      <c r="B249" s="358" t="str">
        <f>Idiomas!D139</f>
        <v>CUADRO DE HONOR</v>
      </c>
      <c r="C249" s="350"/>
      <c r="D249" s="689"/>
      <c r="E249" s="374"/>
      <c r="F249" s="374"/>
      <c r="G249" s="374"/>
      <c r="H249" s="374"/>
      <c r="I249" s="381"/>
      <c r="J249" s="370"/>
      <c r="K249" s="370"/>
      <c r="L249" s="370"/>
      <c r="M249" s="386"/>
      <c r="N249" s="377"/>
    </row>
    <row r="250" spans="1:14" ht="15" customHeight="1" x14ac:dyDescent="0.2">
      <c r="A250" s="363"/>
      <c r="B250" s="360" t="str">
        <f>WORLDCUP!W150</f>
        <v>🥇Campeón</v>
      </c>
      <c r="C250" s="349" t="str">
        <f>WORLDCUP!AA150</f>
        <v>WF</v>
      </c>
      <c r="D250" s="689"/>
      <c r="E250" s="374"/>
      <c r="F250" s="374"/>
      <c r="G250" s="374"/>
      <c r="H250" s="374"/>
      <c r="I250" s="381"/>
      <c r="J250" s="370"/>
      <c r="K250" s="370"/>
      <c r="L250" s="370"/>
      <c r="M250" s="386"/>
      <c r="N250" s="377"/>
    </row>
    <row r="251" spans="1:14" ht="15" customHeight="1" x14ac:dyDescent="0.2">
      <c r="A251" s="364"/>
      <c r="B251" s="360" t="str">
        <f>WORLDCUP!W151</f>
        <v>🥈Subcampeón</v>
      </c>
      <c r="C251" s="349" t="str">
        <f>WORLDCUP!AA151</f>
        <v>LF</v>
      </c>
      <c r="D251" s="689"/>
      <c r="E251" s="374"/>
      <c r="F251" s="374"/>
      <c r="G251" s="374"/>
      <c r="H251" s="374"/>
      <c r="I251" s="390"/>
      <c r="J251" s="383"/>
      <c r="K251" s="372"/>
      <c r="L251" s="372"/>
      <c r="M251" s="386"/>
      <c r="N251" s="377"/>
    </row>
    <row r="252" spans="1:14" ht="15" customHeight="1" x14ac:dyDescent="0.2">
      <c r="A252" s="364"/>
      <c r="B252" s="360" t="str">
        <f>WORLDCUP!W152</f>
        <v>🥉3º puesto</v>
      </c>
      <c r="C252" s="349" t="str">
        <f>WORLDCUP!AA152</f>
        <v>W34</v>
      </c>
      <c r="D252" s="689"/>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Escribe un jugador</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x14ac:dyDescent="0.2">
      <c r="A254" s="366"/>
      <c r="B254" s="360" t="str">
        <f>WORLDCUP!W155</f>
        <v>Bota de Plata (2º máximo goleador)</v>
      </c>
      <c r="C254" s="349" t="str">
        <f>WORLDCUP!AA155</f>
        <v>Escribe un jugador</v>
      </c>
      <c r="D254" s="371"/>
      <c r="E254" s="685"/>
      <c r="F254" s="685"/>
      <c r="G254" s="685"/>
      <c r="H254" s="685"/>
      <c r="I254" s="392"/>
      <c r="J254" s="392"/>
      <c r="K254" s="392"/>
      <c r="L254" s="393"/>
      <c r="M254" s="393"/>
      <c r="N254" s="377"/>
    </row>
    <row r="255" spans="1:14" ht="15" customHeight="1" x14ac:dyDescent="0.2">
      <c r="A255" s="366"/>
      <c r="B255" s="360" t="str">
        <f>WORLDCUP!W156</f>
        <v>Bota de Bronce (3º máximo goleador)</v>
      </c>
      <c r="C255" s="349" t="str">
        <f>WORLDCUP!AA156</f>
        <v>Escribe un jugador</v>
      </c>
      <c r="D255" s="371"/>
      <c r="E255" s="685"/>
      <c r="F255" s="685"/>
      <c r="G255" s="685"/>
      <c r="H255" s="685"/>
      <c r="I255" s="392"/>
      <c r="J255" s="392"/>
      <c r="K255" s="392"/>
      <c r="L255" s="393"/>
      <c r="M255" s="393"/>
      <c r="N255" s="377"/>
    </row>
    <row r="256" spans="1:14" ht="15" customHeight="1" x14ac:dyDescent="0.2">
      <c r="A256" s="363"/>
      <c r="B256" s="360" t="str">
        <f>WORLDCUP!W158</f>
        <v>Balón de Oro  (mejor jugador)</v>
      </c>
      <c r="C256" s="349" t="str">
        <f>WORLDCUP!AA158</f>
        <v>Escribe un jugador</v>
      </c>
      <c r="D256" s="371"/>
      <c r="E256" s="685"/>
      <c r="F256" s="685"/>
      <c r="G256" s="685"/>
      <c r="H256" s="685"/>
      <c r="I256" s="392"/>
      <c r="J256" s="392"/>
      <c r="K256" s="392"/>
      <c r="L256" s="393"/>
      <c r="M256" s="393"/>
      <c r="N256" s="377"/>
    </row>
    <row r="257" spans="1:14" ht="15" customHeight="1" x14ac:dyDescent="0.2">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Méx</v>
      </c>
      <c r="D3" s="418" t="str">
        <f>IF(ISBLANK(INDEX(WORLDCUP!$AC$4:$AC$147,MATCH(A3,WORLDCUP!$AH$4:$AH$147,0))),"",INDEX(WORLDCUP!$AC$4:$AC$147,MATCH(A3,WORLDCUP!$AH$4:$AH$147,0)))</f>
        <v/>
      </c>
      <c r="E3" s="418" t="str">
        <f>IF(ISBLANK(INDEX(WORLDCUP!$AD$4:$AD$147,MATCH(A3,WORLDCUP!$AH$4:$AH$147,0))),"",INDEX(WORLDCUP!$AD$4:$AD$147,MATCH(A3,WORLDCUP!$AH$4:$AH$147,0)))</f>
        <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t="str">
        <f>IF(ISBLANK(INDEX(WORLDCUP!$AC$4:$AC$147,MATCH(M3,WORLDCUP!$AH$4:$AH$147,0))),"",INDEX(WORLDCUP!$AC$4:$AC$147,MATCH(M3,WORLDCUP!$AH$4:$AH$147,0)))</f>
        <v/>
      </c>
      <c r="Q3" s="418" t="str">
        <f>IF(ISBLANK(INDEX(WORLDCUP!$AD$4:$AD$147,MATCH(M3,WORLDCUP!$AH$4:$AH$147,0))),"",INDEX(WORLDCUP!$AD$4:$AD$147,MATCH(M3,WORLDCUP!$AH$4:$AH$147,0)))</f>
        <v/>
      </c>
      <c r="R3" s="419" t="str">
        <f ca="1">+MID(INDEX(WORLDCUP!$AF$4:$AF$147,MATCH(M3,WORLDCUP!$AH$4:$AH$147,0)),1,3)</f>
        <v>Egi</v>
      </c>
      <c r="S3" s="420"/>
      <c r="T3" s="421" t="str">
        <f>+H43</f>
        <v>Sel</v>
      </c>
      <c r="U3" s="422" t="str">
        <f>+I43</f>
        <v>Pts</v>
      </c>
      <c r="V3" s="422" t="str">
        <f>+J43</f>
        <v>DG</v>
      </c>
      <c r="W3" s="423" t="str">
        <f>+K43</f>
        <v>GF-GC</v>
      </c>
      <c r="X3" s="181"/>
      <c r="Y3" s="181">
        <v>74</v>
      </c>
      <c r="Z3" s="425" t="s">
        <v>673</v>
      </c>
      <c r="AA3" s="426" t="str">
        <f ca="1">+MID(INDEX(WORLDCUP!$AA$101:$AA$147,MATCH(Y3,WORLDCUP!$Z$101:$Z$147,0)),1,3)</f>
        <v>1E</v>
      </c>
      <c r="AB3" s="427" t="str">
        <f>+IF(ISBLANK(INDEX(WORLDCUP!$AC$101:$AC$147,MATCH(Y3,WORLDCUP!$Z$101:$Z$147,0))),"",INDEX(WORLDCUP!$AC$101:$AC$147,MATCH(Y3,WORLDCUP!$Z$101:$Z$147,0)))</f>
        <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1354</v>
      </c>
      <c r="BN3" s="441" t="s">
        <v>1355</v>
      </c>
      <c r="BO3" s="442" t="s">
        <v>1356</v>
      </c>
    </row>
    <row r="4" spans="1:67" ht="16" thickBot="1" x14ac:dyDescent="0.25">
      <c r="A4" s="181">
        <v>2</v>
      </c>
      <c r="B4" s="443"/>
      <c r="C4" s="444" t="str">
        <f ca="1">+MID(INDEX(WORLDCUP!$AA$4:$AA$147,MATCH(A4,WORLDCUP!$AH$4:$AH$147,0)),1,3)</f>
        <v>Cor</v>
      </c>
      <c r="D4" s="445" t="str">
        <f>IF(ISBLANK(INDEX(WORLDCUP!$AC$4:$AC$147,MATCH(A4,WORLDCUP!$AH$4:$AH$147,0))),"",INDEX(WORLDCUP!$AC$4:$AC$147,MATCH(A4,WORLDCUP!$AH$4:$AH$147,0)))</f>
        <v/>
      </c>
      <c r="E4" s="445" t="str">
        <f>IF(ISBLANK(INDEX(WORLDCUP!$AD$4:$AD$147,MATCH(A4,WORLDCUP!$AH$4:$AH$147,0))),"",INDEX(WORLDCUP!$AD$4:$AD$147,MATCH(A4,WORLDCUP!$AH$4:$AH$147,0)))</f>
        <v/>
      </c>
      <c r="F4" s="446" t="str">
        <f ca="1">+MID(INDEX(WORLDCUP!$AF$4:$AF$147,MATCH(A4,WORLDCUP!$AH$4:$AH$147,0)),1,3)</f>
        <v>Rep</v>
      </c>
      <c r="G4" s="447">
        <v>1</v>
      </c>
      <c r="H4" s="448" t="str">
        <f ca="1">+MID(INDEX(WORLDCUP!$AL$6:$AL$97,MATCH(L4,WORLDCUP!$AI$6:$AI$97,0)),1,3)</f>
        <v>Méx</v>
      </c>
      <c r="I4" s="449">
        <f ca="1">+INDEX(WORLDCUP!$AM$6:$AM$97,MATCH(L4,WORLDCUP!$AI$6:$AI$97,0))</f>
        <v>0</v>
      </c>
      <c r="J4" s="450">
        <f ca="1">+INDEX(WORLDCUP!$AT$6:$AT$97,MATCH(L4,WORLDCUP!$AI$6:$AI$97,0))</f>
        <v>0</v>
      </c>
      <c r="K4" s="451" t="str">
        <f ca="1">+INDEX(WORLDCUP!$AR$6:$AR$97,MATCH(L4,WORLDCUP!$AI$6:$AI$97,0))&amp;"-"&amp;INDEX(WORLDCUP!$AS$6:$AS$97,MATCH(L4,WORLDCUP!$AI$6:$AI$97,0))</f>
        <v>0-0</v>
      </c>
      <c r="L4" s="181" t="s">
        <v>657</v>
      </c>
      <c r="M4" s="181">
        <v>15</v>
      </c>
      <c r="N4" s="452"/>
      <c r="O4" s="444" t="str">
        <f ca="1">+MID(INDEX(WORLDCUP!$AA$4:$AA$147,MATCH(M4,WORLDCUP!$AH$4:$AH$147,0)),1,3)</f>
        <v>Irá</v>
      </c>
      <c r="P4" s="445" t="str">
        <f>IF(ISBLANK(INDEX(WORLDCUP!$AC$4:$AC$147,MATCH(M4,WORLDCUP!$AH$4:$AH$147,0))),"",INDEX(WORLDCUP!$AC$4:$AC$147,MATCH(M4,WORLDCUP!$AH$4:$AH$147,0)))</f>
        <v/>
      </c>
      <c r="Q4" s="445" t="str">
        <f>IF(ISBLANK(INDEX(WORLDCUP!$AD$4:$AD$147,MATCH(M4,WORLDCUP!$AH$4:$AH$147,0))),"",INDEX(WORLDCUP!$AD$4:$AD$147,MATCH(M4,WORLDCUP!$AH$4:$AH$147,0)))</f>
        <v/>
      </c>
      <c r="R4" s="446" t="str">
        <f ca="1">+MID(INDEX(WORLDCUP!$AF$4:$AF$147,MATCH(M4,WORLDCUP!$AH$4:$AH$147,0)),1,3)</f>
        <v>Nue</v>
      </c>
      <c r="S4" s="447">
        <v>1</v>
      </c>
      <c r="T4" s="448" t="str">
        <f ca="1">+MID(INDEX(WORLDCUP!$AL$6:$AL$97,MATCH(X4,WORLDCUP!$AI$6:$AI$97,0)),1,3)</f>
        <v>Bél</v>
      </c>
      <c r="U4" s="449">
        <f ca="1">+INDEX(WORLDCUP!$AM$6:$AM$97,MATCH(X4,WORLDCUP!$AI$6:$AI$97,0))</f>
        <v>0</v>
      </c>
      <c r="V4" s="450">
        <f ca="1">+INDEX(WORLDCUP!$AT$6:$AT$97,MATCH(X4,WORLDCUP!$AI$6:$AI$97,0))</f>
        <v>0</v>
      </c>
      <c r="W4" s="451" t="str">
        <f ca="1">+INDEX(WORLDCUP!$AR$6:$AR$97,MATCH(X4,WORLDCUP!$AI$6:$AI$97,0))&amp;"-"&amp;INDEX(WORLDCUP!$AS$6:$AS$97,MATCH(X4,WORLDCUP!$AI$6:$AI$97,0))</f>
        <v>0-0</v>
      </c>
      <c r="X4" s="181" t="s">
        <v>679</v>
      </c>
      <c r="Y4" s="181">
        <v>74</v>
      </c>
      <c r="Z4" s="425" t="s">
        <v>734</v>
      </c>
      <c r="AA4" s="426" t="str">
        <f ca="1">+MID(INDEX(WORLDCUP!$AF$101:$AF$147,MATCH(Y4,WORLDCUP!$Z$101:$Z$147,0)),1,IF(WORLDCUP!$H$113&lt;144,6,3))</f>
        <v>3ABCDF</v>
      </c>
      <c r="AB4" s="453" t="str">
        <f>+IF(ISBLANK(INDEX(WORLDCUP!$AD$101:$AD$147,MATCH(Y4,WORLDCUP!$Z$101:$Z$147,0))),"",INDEX(WORLDCUP!$AD$101:$AD$147,MATCH(Y4,WORLDCUP!$Z$101:$Z$147,0)))</f>
        <v/>
      </c>
      <c r="AC4" s="454" t="str">
        <f>+IF(ISBLANK(INDEX(WORLDCUP!$AE$101:$AE$147,MATCH(Y4,WORLDCUP!$Z$101:$Z$147,0))),"","( "&amp;INDEX(WORLDCUP!$AE$101:$AE$147,MATCH(Y4,WORLDCUP!$Z$101:$Z$147,0))&amp;" )")</f>
        <v/>
      </c>
      <c r="AD4" s="455">
        <v>89</v>
      </c>
      <c r="AE4" s="456" t="str">
        <f>+MID(INDEX(WORLDCUP!$AA$101:$AA$147,MATCH(AD4,WORLDCUP!$Z$101:$Z$147,0)),1,3)</f>
        <v>W74</v>
      </c>
      <c r="AF4" s="457" t="str">
        <f>+IF(ISBLANK(INDEX(WORLDCUP!$AC$101:$AC$147,MATCH(AD4,WORLDCUP!$Z$101:$Z$147,0))),"",INDEX(WORLDCUP!$AC$101:$AC$147,MATCH(AD4,WORLDCUP!$Z$101:$Z$147,0)))</f>
        <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1</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t="str">
        <f>IF(ISBLANK(INDEX(WORLDCUP!$AC$4:$AC$147,MATCH(A5,WORLDCUP!$AH$4:$AH$147,0))),"",INDEX(WORLDCUP!$AC$4:$AC$147,MATCH(A5,WORLDCUP!$AH$4:$AH$147,0)))</f>
        <v/>
      </c>
      <c r="E5" s="445" t="str">
        <f>IF(ISBLANK(INDEX(WORLDCUP!$AD$4:$AD$147,MATCH(A5,WORLDCUP!$AH$4:$AH$147,0))),"",INDEX(WORLDCUP!$AD$4:$AD$147,MATCH(A5,WORLDCUP!$AH$4:$AH$147,0)))</f>
        <v/>
      </c>
      <c r="F5" s="446" t="str">
        <f ca="1">+MID(INDEX(WORLDCUP!$AF$4:$AF$147,MATCH(A5,WORLDCUP!$AH$4:$AH$147,0)),1,3)</f>
        <v>Sud</v>
      </c>
      <c r="G5" s="467">
        <v>2</v>
      </c>
      <c r="H5" s="468" t="str">
        <f ca="1">+MID(INDEX(WORLDCUP!$AL$6:$AL$97,MATCH(L5,WORLDCUP!$AI$6:$AI$97,0)),1,3)</f>
        <v>Sud</v>
      </c>
      <c r="I5" s="38">
        <f ca="1">+INDEX(WORLDCUP!$AM$6:$AM$97,MATCH(L5,WORLDCUP!$AI$6:$AI$97,0))</f>
        <v>0</v>
      </c>
      <c r="J5" s="39">
        <f ca="1">+INDEX(WORLDCUP!$AT$6:$AT$97,MATCH(L5,WORLDCUP!$AI$6:$AI$97,0))</f>
        <v>0</v>
      </c>
      <c r="K5" s="43" t="str">
        <f ca="1">+INDEX(WORLDCUP!$AR$6:$AR$97,MATCH(L5,WORLDCUP!$AI$6:$AI$97,0))&amp;"-"&amp;INDEX(WORLDCUP!$AS$6:$AS$97,MATCH(L5,WORLDCUP!$AI$6:$AI$97,0))</f>
        <v>0-0</v>
      </c>
      <c r="L5" s="181" t="s">
        <v>658</v>
      </c>
      <c r="M5" s="181">
        <v>39</v>
      </c>
      <c r="N5" s="452"/>
      <c r="O5" s="444" t="str">
        <f ca="1">+MID(INDEX(WORLDCUP!$AA$4:$AA$147,MATCH(M5,WORLDCUP!$AH$4:$AH$147,0)),1,3)</f>
        <v>Bél</v>
      </c>
      <c r="P5" s="445" t="str">
        <f>IF(ISBLANK(INDEX(WORLDCUP!$AC$4:$AC$147,MATCH(M5,WORLDCUP!$AH$4:$AH$147,0))),"",INDEX(WORLDCUP!$AC$4:$AC$147,MATCH(M5,WORLDCUP!$AH$4:$AH$147,0)))</f>
        <v/>
      </c>
      <c r="Q5" s="445" t="str">
        <f>IF(ISBLANK(INDEX(WORLDCUP!$AD$4:$AD$147,MATCH(M5,WORLDCUP!$AH$4:$AH$147,0))),"",INDEX(WORLDCUP!$AD$4:$AD$147,MATCH(M5,WORLDCUP!$AH$4:$AH$147,0)))</f>
        <v/>
      </c>
      <c r="R5" s="446" t="str">
        <f ca="1">+MID(INDEX(WORLDCUP!$AF$4:$AF$147,MATCH(M5,WORLDCUP!$AH$4:$AH$147,0)),1,3)</f>
        <v>Irá</v>
      </c>
      <c r="S5" s="467">
        <v>2</v>
      </c>
      <c r="T5" s="468" t="str">
        <f ca="1">+MID(INDEX(WORLDCUP!$AL$6:$AL$97,MATCH(X5,WORLDCUP!$AI$6:$AI$97,0)),1,3)</f>
        <v>Egi</v>
      </c>
      <c r="U5" s="38">
        <f ca="1">+INDEX(WORLDCUP!$AM$6:$AM$97,MATCH(X5,WORLDCUP!$AI$6:$AI$97,0))</f>
        <v>0</v>
      </c>
      <c r="V5" s="39">
        <f ca="1">+INDEX(WORLDCUP!$AT$6:$AT$97,MATCH(X5,WORLDCUP!$AI$6:$AI$97,0))</f>
        <v>0</v>
      </c>
      <c r="W5" s="43" t="str">
        <f ca="1">+INDEX(WORLDCUP!$AR$6:$AR$97,MATCH(X5,WORLDCUP!$AI$6:$AI$97,0))&amp;"-"&amp;INDEX(WORLDCUP!$AS$6:$AS$97,MATCH(X5,WORLDCUP!$AI$6:$AI$97,0))</f>
        <v>0-0</v>
      </c>
      <c r="X5" s="181" t="s">
        <v>680</v>
      </c>
      <c r="Y5" s="181"/>
      <c r="Z5" s="425"/>
      <c r="AA5" s="469"/>
      <c r="AB5" s="469"/>
      <c r="AC5" s="470"/>
      <c r="AD5" s="181">
        <v>89</v>
      </c>
      <c r="AE5" s="456" t="str">
        <f>+MID(INDEX(WORLDCUP!$AF$101:$AF$147,MATCH(AD5,WORLDCUP!$Z$101:$Z$147,0)),1,3)</f>
        <v>W77</v>
      </c>
      <c r="AF5" s="457" t="str">
        <f>+IF(ISBLANK(INDEX(WORLDCUP!$AD$101:$AD$147,MATCH(AD5,WORLDCUP!$Z$101:$Z$147,0))),"",INDEX(WORLDCUP!$AD$101:$AD$147,MATCH(AD5,WORLDCUP!$Z$101:$Z$147,0)))</f>
        <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Méx</v>
      </c>
      <c r="D6" s="445" t="str">
        <f>IF(ISBLANK(INDEX(WORLDCUP!$AC$4:$AC$147,MATCH(A6,WORLDCUP!$AH$4:$AH$147,0))),"",INDEX(WORLDCUP!$AC$4:$AC$147,MATCH(A6,WORLDCUP!$AH$4:$AH$147,0)))</f>
        <v/>
      </c>
      <c r="E6" s="445" t="str">
        <f>IF(ISBLANK(INDEX(WORLDCUP!$AD$4:$AD$147,MATCH(A6,WORLDCUP!$AH$4:$AH$147,0))),"",INDEX(WORLDCUP!$AD$4:$AD$147,MATCH(A6,WORLDCUP!$AH$4:$AH$147,0)))</f>
        <v/>
      </c>
      <c r="F6" s="446" t="str">
        <f ca="1">+MID(INDEX(WORLDCUP!$AF$4:$AF$147,MATCH(A6,WORLDCUP!$AH$4:$AH$147,0)),1,3)</f>
        <v>Cor</v>
      </c>
      <c r="G6" s="467">
        <v>3</v>
      </c>
      <c r="H6" s="468" t="str">
        <f ca="1">+MID(INDEX(WORLDCUP!$AL$6:$AL$97,MATCH(L6,WORLDCUP!$AI$6:$AI$97,0)),1,3)</f>
        <v>Cor</v>
      </c>
      <c r="I6" s="38">
        <f ca="1">+INDEX(WORLDCUP!$AM$6:$AM$97,MATCH(L6,WORLDCUP!$AI$6:$AI$97,0))</f>
        <v>0</v>
      </c>
      <c r="J6" s="39">
        <f ca="1">+INDEX(WORLDCUP!$AT$6:$AT$97,MATCH(L6,WORLDCUP!$AI$6:$AI$97,0))</f>
        <v>0</v>
      </c>
      <c r="K6" s="43" t="str">
        <f ca="1">+INDEX(WORLDCUP!$AR$6:$AR$97,MATCH(L6,WORLDCUP!$AI$6:$AI$97,0))&amp;"-"&amp;INDEX(WORLDCUP!$AS$6:$AS$97,MATCH(L6,WORLDCUP!$AI$6:$AI$97,0))</f>
        <v>0-0</v>
      </c>
      <c r="L6" s="181" t="s">
        <v>90</v>
      </c>
      <c r="M6" s="181">
        <v>40</v>
      </c>
      <c r="N6" s="452"/>
      <c r="O6" s="444" t="str">
        <f ca="1">+MID(INDEX(WORLDCUP!$AA$4:$AA$147,MATCH(M6,WORLDCUP!$AH$4:$AH$147,0)),1,3)</f>
        <v>Nue</v>
      </c>
      <c r="P6" s="445" t="str">
        <f>IF(ISBLANK(INDEX(WORLDCUP!$AC$4:$AC$147,MATCH(M6,WORLDCUP!$AH$4:$AH$147,0))),"",INDEX(WORLDCUP!$AC$4:$AC$147,MATCH(M6,WORLDCUP!$AH$4:$AH$147,0)))</f>
        <v/>
      </c>
      <c r="Q6" s="445" t="str">
        <f>IF(ISBLANK(INDEX(WORLDCUP!$AD$4:$AD$147,MATCH(M6,WORLDCUP!$AH$4:$AH$147,0))),"",INDEX(WORLDCUP!$AD$4:$AD$147,MATCH(M6,WORLDCUP!$AH$4:$AH$147,0)))</f>
        <v/>
      </c>
      <c r="R6" s="446" t="str">
        <f ca="1">+MID(INDEX(WORLDCUP!$AF$4:$AF$147,MATCH(M6,WORLDCUP!$AH$4:$AH$147,0)),1,3)</f>
        <v>Egi</v>
      </c>
      <c r="S6" s="467">
        <v>3</v>
      </c>
      <c r="T6" s="468" t="str">
        <f ca="1">+MID(INDEX(WORLDCUP!$AL$6:$AL$97,MATCH(X6,WORLDCUP!$AI$6:$AI$97,0)),1,3)</f>
        <v>Irá</v>
      </c>
      <c r="U6" s="38">
        <f ca="1">+INDEX(WORLDCUP!$AM$6:$AM$97,MATCH(X6,WORLDCUP!$AI$6:$AI$97,0))</f>
        <v>0</v>
      </c>
      <c r="V6" s="39">
        <f ca="1">+INDEX(WORLDCUP!$AT$6:$AT$97,MATCH(X6,WORLDCUP!$AI$6:$AI$97,0))</f>
        <v>0</v>
      </c>
      <c r="W6" s="43" t="str">
        <f ca="1">+INDEX(WORLDCUP!$AR$6:$AR$97,MATCH(X6,WORLDCUP!$AI$6:$AI$97,0))&amp;"-"&amp;INDEX(WORLDCUP!$AS$6:$AS$97,MATCH(X6,WORLDCUP!$AI$6:$AI$97,0))</f>
        <v>0-0</v>
      </c>
      <c r="X6" s="181" t="s">
        <v>445</v>
      </c>
      <c r="Y6" s="181">
        <v>77</v>
      </c>
      <c r="Z6" s="425" t="s">
        <v>685</v>
      </c>
      <c r="AA6" s="426" t="str">
        <f ca="1">+MID(INDEX(WORLDCUP!$AA$101:$AA$147,MATCH(Y6,WORLDCUP!$Z$101:$Z$147,0)),1,3)</f>
        <v>1I</v>
      </c>
      <c r="AB6" s="472" t="str">
        <f>+IF(ISBLANK(INDEX(WORLDCUP!$AC$101:$AC$147,MATCH(Y6,WORLDCUP!$Z$101:$Z$147,0))),"",INDEX(WORLDCUP!$AC$101:$AC$147,MATCH(Y6,WORLDCUP!$Z$101:$Z$147,0)))</f>
        <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Rep</v>
      </c>
      <c r="D7" s="445" t="str">
        <f>IF(ISBLANK(INDEX(WORLDCUP!$AC$4:$AC$147,MATCH(A7,WORLDCUP!$AH$4:$AH$147,0))),"",INDEX(WORLDCUP!$AC$4:$AC$147,MATCH(A7,WORLDCUP!$AH$4:$AH$147,0)))</f>
        <v/>
      </c>
      <c r="E7" s="445" t="str">
        <f>IF(ISBLANK(INDEX(WORLDCUP!$AD$4:$AD$147,MATCH(A7,WORLDCUP!$AH$4:$AH$147,0))),"",INDEX(WORLDCUP!$AD$4:$AD$147,MATCH(A7,WORLDCUP!$AH$4:$AH$147,0)))</f>
        <v/>
      </c>
      <c r="F7" s="446" t="str">
        <f ca="1">+MID(INDEX(WORLDCUP!$AF$4:$AF$147,MATCH(A7,WORLDCUP!$AH$4:$AH$147,0)),1,3)</f>
        <v>Méx</v>
      </c>
      <c r="G7" s="467">
        <v>4</v>
      </c>
      <c r="H7" s="476" t="str">
        <f ca="1">+MID(INDEX(WORLDCUP!$AL$6:$AL$97,MATCH(L7,WORLDCUP!$AI$6:$AI$97,0)),1,3)</f>
        <v>Rep</v>
      </c>
      <c r="I7" s="477">
        <f ca="1">+INDEX(WORLDCUP!$AM$6:$AM$97,MATCH(L7,WORLDCUP!$AI$6:$AI$97,0))</f>
        <v>0</v>
      </c>
      <c r="J7" s="478">
        <f ca="1">+INDEX(WORLDCUP!$AT$6:$AT$97,MATCH(L7,WORLDCUP!$AI$6:$AI$97,0))</f>
        <v>0</v>
      </c>
      <c r="K7" s="479" t="str">
        <f ca="1">+INDEX(WORLDCUP!$AR$6:$AR$97,MATCH(L7,WORLDCUP!$AI$6:$AI$97,0))&amp;"-"&amp;INDEX(WORLDCUP!$AS$6:$AS$97,MATCH(L7,WORLDCUP!$AI$6:$AI$97,0))</f>
        <v>0-0</v>
      </c>
      <c r="L7" s="181" t="s">
        <v>659</v>
      </c>
      <c r="M7" s="181">
        <v>63</v>
      </c>
      <c r="N7" s="452"/>
      <c r="O7" s="444" t="str">
        <f ca="1">+MID(INDEX(WORLDCUP!$AA$4:$AA$147,MATCH(M7,WORLDCUP!$AH$4:$AH$147,0)),1,3)</f>
        <v>Egi</v>
      </c>
      <c r="P7" s="445" t="str">
        <f>IF(ISBLANK(INDEX(WORLDCUP!$AC$4:$AC$147,MATCH(M7,WORLDCUP!$AH$4:$AH$147,0))),"",INDEX(WORLDCUP!$AC$4:$AC$147,MATCH(M7,WORLDCUP!$AH$4:$AH$147,0)))</f>
        <v/>
      </c>
      <c r="Q7" s="445" t="str">
        <f>IF(ISBLANK(INDEX(WORLDCUP!$AD$4:$AD$147,MATCH(M7,WORLDCUP!$AH$4:$AH$147,0))),"",INDEX(WORLDCUP!$AD$4:$AD$147,MATCH(M7,WORLDCUP!$AH$4:$AH$147,0)))</f>
        <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0</v>
      </c>
      <c r="W7" s="479" t="str">
        <f ca="1">+INDEX(WORLDCUP!$AR$6:$AR$97,MATCH(X7,WORLDCUP!$AI$6:$AI$97,0))&amp;"-"&amp;INDEX(WORLDCUP!$AS$6:$AS$97,MATCH(X7,WORLDCUP!$AI$6:$AI$97,0))</f>
        <v>0-0</v>
      </c>
      <c r="X7" s="181" t="s">
        <v>681</v>
      </c>
      <c r="Y7" s="181">
        <v>77</v>
      </c>
      <c r="Z7" s="425" t="s">
        <v>735</v>
      </c>
      <c r="AA7" s="480" t="str">
        <f ca="1">+MID(INDEX(WORLDCUP!$AF$101:$AF$147,MATCH(Y7,WORLDCUP!$Z$101:$Z$147,0)),1,IF(WORLDCUP!$H$113&lt;144,6,3))</f>
        <v>3CDFGH</v>
      </c>
      <c r="AB7" s="481" t="str">
        <f>+IF(ISBLANK(INDEX(WORLDCUP!$AD$101:$AD$147,MATCH(Y7,WORLDCUP!$Z$101:$Z$147,0))),"",INDEX(WORLDCUP!$AD$101:$AD$147,MATCH(Y7,WORLDCUP!$Z$101:$Z$147,0)))</f>
        <v/>
      </c>
      <c r="AC7" s="482" t="str">
        <f>+IF(ISBLANK(INDEX(WORLDCUP!$AE$101:$AE$147,MATCH(Y7,WORLDCUP!$Z$101:$Z$147,0))),"","( "&amp;INDEX(WORLDCUP!$AE$101:$AE$147,MATCH(Y7,WORLDCUP!$Z$101:$Z$147,0))&amp;" )")</f>
        <v/>
      </c>
      <c r="AD7" s="181"/>
      <c r="AE7" s="474"/>
      <c r="AF7" s="474"/>
      <c r="AG7" s="475"/>
      <c r="AH7" s="455">
        <v>97</v>
      </c>
      <c r="AI7" s="483" t="str">
        <f>+MID(INDEX(WORLDCUP!$AA$101:$AA$147,MATCH(AH7,WORLDCUP!$Z$101:$Z$147,0)),1,3)</f>
        <v>W89</v>
      </c>
      <c r="AJ7" s="484" t="str">
        <f>+IF(ISBLANK(INDEX(WORLDCUP!$AC$101:$AC$147,MATCH(AH7,WORLDCUP!$Z$101:$Z$147,0))),"",INDEX(WORLDCUP!$AC$101:$AC$147,MATCH(AH7,WORLDCUP!$Z$101:$Z$147,0)))</f>
        <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1</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0</v>
      </c>
    </row>
    <row r="8" spans="1:67" ht="16" thickBot="1" x14ac:dyDescent="0.25">
      <c r="A8" s="181">
        <v>54</v>
      </c>
      <c r="B8" s="486"/>
      <c r="C8" s="487" t="str">
        <f ca="1">+MID(INDEX(WORLDCUP!$AA$4:$AA$147,MATCH(A8,WORLDCUP!$AH$4:$AH$147,0)),1,3)</f>
        <v>Sud</v>
      </c>
      <c r="D8" s="488" t="str">
        <f>IF(ISBLANK(INDEX(WORLDCUP!$AC$4:$AC$147,MATCH(A8,WORLDCUP!$AH$4:$AH$147,0))),"",INDEX(WORLDCUP!$AC$4:$AC$147,MATCH(A8,WORLDCUP!$AH$4:$AH$147,0)))</f>
        <v/>
      </c>
      <c r="E8" s="488" t="str">
        <f>IF(ISBLANK(INDEX(WORLDCUP!$AD$4:$AD$147,MATCH(A8,WORLDCUP!$AH$4:$AH$147,0))),"",INDEX(WORLDCUP!$AD$4:$AD$147,MATCH(A8,WORLDCUP!$AH$4:$AH$147,0)))</f>
        <v/>
      </c>
      <c r="F8" s="489" t="str">
        <f ca="1">+MID(INDEX(WORLDCUP!$AF$4:$AF$147,MATCH(A8,WORLDCUP!$AH$4:$AH$147,0)),1,3)</f>
        <v>Cor</v>
      </c>
      <c r="G8" s="490"/>
      <c r="H8" s="490"/>
      <c r="I8" s="491"/>
      <c r="J8" s="491"/>
      <c r="K8" s="492"/>
      <c r="L8" s="181"/>
      <c r="M8" s="181">
        <v>64</v>
      </c>
      <c r="N8" s="493"/>
      <c r="O8" s="487" t="str">
        <f ca="1">+MID(INDEX(WORLDCUP!$AA$4:$AA$147,MATCH(M8,WORLDCUP!$AH$4:$AH$147,0)),1,3)</f>
        <v>Nue</v>
      </c>
      <c r="P8" s="488" t="str">
        <f>IF(ISBLANK(INDEX(WORLDCUP!$AC$4:$AC$147,MATCH(M8,WORLDCUP!$AH$4:$AH$147,0))),"",INDEX(WORLDCUP!$AC$4:$AC$147,MATCH(M8,WORLDCUP!$AH$4:$AH$147,0)))</f>
        <v/>
      </c>
      <c r="Q8" s="488" t="str">
        <f>IF(ISBLANK(INDEX(WORLDCUP!$AD$4:$AD$147,MATCH(M8,WORLDCUP!$AH$4:$AH$147,0))),"",INDEX(WORLDCUP!$AD$4:$AD$147,MATCH(M8,WORLDCUP!$AH$4:$AH$147,0)))</f>
        <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+MID(INDEX(WORLDCUP!$AF$101:$AF$147,MATCH(AH8,WORLDCUP!$Z$101:$Z$147,0)),1,3)</f>
        <v>W90</v>
      </c>
      <c r="AJ8" s="484" t="str">
        <f>+IF(ISBLANK(INDEX(WORLDCUP!$AD$101:$AD$147,MATCH(AH8,WORLDCUP!$Z$101:$Z$147,0))),"",INDEX(WORLDCUP!$AD$101:$AD$147,MATCH(AH8,WORLDCUP!$Z$101:$Z$147,0)))</f>
        <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658</v>
      </c>
      <c r="AA9" s="426" t="str">
        <f ca="1">+MID(INDEX(WORLDCUP!$AA$101:$AA$147,MATCH(Y9,WORLDCUP!$Z$101:$Z$147,0)),1,3)</f>
        <v>2A</v>
      </c>
      <c r="AB9" s="427" t="str">
        <f>+IF(ISBLANK(INDEX(WORLDCUP!$AC$101:$AC$147,MATCH(Y9,WORLDCUP!$Z$101:$Z$147,0))),"",INDEX(WORLDCUP!$AC$101:$AC$147,MATCH(Y9,WORLDCUP!$Z$101:$Z$147,0)))</f>
        <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1</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661</v>
      </c>
      <c r="AA10" s="426" t="str">
        <f ca="1">+MID(INDEX(WORLDCUP!$AF$101:$AF$147,MATCH(Y10,WORLDCUP!$Z$101:$Z$147,0)),1,3)</f>
        <v>2B</v>
      </c>
      <c r="AB10" s="453" t="str">
        <f>+IF(ISBLANK(INDEX(WORLDCUP!$AD$101:$AD$147,MATCH(Y10,WORLDCUP!$Z$101:$Z$147,0))),"",INDEX(WORLDCUP!$AD$101:$AD$147,MATCH(Y10,WORLDCUP!$Z$101:$Z$147,0)))</f>
        <v/>
      </c>
      <c r="AC10" s="454" t="str">
        <f>+IF(ISBLANK(INDEX(WORLDCUP!$AE$101:$AE$147,MATCH(Y10,WORLDCUP!$Z$101:$Z$147,0))),"","( "&amp;INDEX(WORLDCUP!$AE$101:$AE$147,MATCH(Y10,WORLDCUP!$Z$101:$Z$147,0))&amp;" )")</f>
        <v/>
      </c>
      <c r="AD10" s="500">
        <v>90</v>
      </c>
      <c r="AE10" s="456" t="str">
        <f>+MID(INDEX(WORLDCUP!$AA$101:$AA$147,MATCH(AD10,WORLDCUP!$Z$101:$Z$147,0)),1,3)</f>
        <v>W73</v>
      </c>
      <c r="AF10" s="457" t="str">
        <f>+IF(ISBLANK(INDEX(WORLDCUP!$AC$101:$AC$147,MATCH(AD10,WORLDCUP!$Z$101:$Z$147,0))),"",INDEX(WORLDCUP!$AC$101:$AC$147,MATCH(AD10,WORLDCUP!$Z$101:$Z$147,0)))</f>
        <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1</v>
      </c>
      <c r="BI10" s="463">
        <f ca="1">COUNTIF(Pool!$C$130:$C$161,Fixture!BG10)-BJ10-BK10-BL10-BM10-BN10-BO10</f>
        <v>0</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t="str">
        <f>IF(ISBLANK(INDEX(WORLDCUP!$AC$4:$AC$147,MATCH(A11,WORLDCUP!$AH$4:$AH$147,0))),"",INDEX(WORLDCUP!$AC$4:$AC$147,MATCH(A11,WORLDCUP!$AH$4:$AH$147,0)))</f>
        <v/>
      </c>
      <c r="E11" s="418" t="str">
        <f>IF(ISBLANK(INDEX(WORLDCUP!$AD$4:$AD$147,MATCH(A11,WORLDCUP!$AH$4:$AH$147,0))),"",INDEX(WORLDCUP!$AD$4:$AD$147,MATCH(A11,WORLDCUP!$AH$4:$AH$147,0)))</f>
        <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t="str">
        <f>IF(ISBLANK(INDEX(WORLDCUP!$AC$4:$AC$147,MATCH(M11,WORLDCUP!$AH$4:$AH$147,0))),"",INDEX(WORLDCUP!$AC$4:$AC$147,MATCH(M11,WORLDCUP!$AH$4:$AH$147,0)))</f>
        <v/>
      </c>
      <c r="Q11" s="418" t="str">
        <f>IF(ISBLANK(INDEX(WORLDCUP!$AD$4:$AD$147,MATCH(M11,WORLDCUP!$AH$4:$AH$147,0))),"",INDEX(WORLDCUP!$AD$4:$AD$147,MATCH(M11,WORLDCUP!$AH$4:$AH$147,0)))</f>
        <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+MID(INDEX(WORLDCUP!$AF$101:$AF$147,MATCH(AD11,WORLDCUP!$Z$101:$Z$147,0)),1,3)</f>
        <v>W75</v>
      </c>
      <c r="AF11" s="457" t="str">
        <f>+IF(ISBLANK(INDEX(WORLDCUP!$AD$101:$AD$147,MATCH(AD11,WORLDCUP!$Z$101:$Z$147,0))),"",INDEX(WORLDCUP!$AD$101:$AD$147,MATCH(AD11,WORLDCUP!$Z$101:$Z$147,0)))</f>
        <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Cat</v>
      </c>
      <c r="D12" s="445" t="str">
        <f>IF(ISBLANK(INDEX(WORLDCUP!$AC$4:$AC$147,MATCH(A12,WORLDCUP!$AH$4:$AH$147,0))),"",INDEX(WORLDCUP!$AC$4:$AC$147,MATCH(A12,WORLDCUP!$AH$4:$AH$147,0)))</f>
        <v/>
      </c>
      <c r="E12" s="445" t="str">
        <f>IF(ISBLANK(INDEX(WORLDCUP!$AD$4:$AD$147,MATCH(A12,WORLDCUP!$AH$4:$AH$147,0))),"",INDEX(WORLDCUP!$AD$4:$AD$147,MATCH(A12,WORLDCUP!$AH$4:$AH$147,0)))</f>
        <v/>
      </c>
      <c r="F12" s="446" t="str">
        <f ca="1">+MID(INDEX(WORLDCUP!$AF$4:$AF$147,MATCH(A12,WORLDCUP!$AH$4:$AH$147,0)),1,3)</f>
        <v>Sui</v>
      </c>
      <c r="G12" s="447">
        <v>1</v>
      </c>
      <c r="H12" s="448" t="str">
        <f ca="1">+MID(INDEX(WORLDCUP!$AL$6:$AL$97,MATCH(L12,WORLDCUP!$AI$6:$AI$97,0)),1,3)</f>
        <v>Can</v>
      </c>
      <c r="I12" s="449">
        <f ca="1">+INDEX(WORLDCUP!$AM$6:$AM$97,MATCH(L12,WORLDCUP!$AI$6:$AI$97,0))</f>
        <v>0</v>
      </c>
      <c r="J12" s="450">
        <f ca="1">+INDEX(WORLDCUP!$AT$6:$AT$97,MATCH(L12,WORLDCUP!$AI$6:$AI$97,0))</f>
        <v>0</v>
      </c>
      <c r="K12" s="451" t="str">
        <f ca="1">+INDEX(WORLDCUP!$AR$6:$AR$97,MATCH(L12,WORLDCUP!$AI$6:$AI$97,0))&amp;"-"&amp;INDEX(WORLDCUP!$AS$6:$AS$97,MATCH(L12,WORLDCUP!$AI$6:$AI$97,0))</f>
        <v>0-0</v>
      </c>
      <c r="L12" s="181" t="s">
        <v>660</v>
      </c>
      <c r="M12" s="181">
        <v>13</v>
      </c>
      <c r="N12" s="505"/>
      <c r="O12" s="444" t="str">
        <f ca="1">+MID(INDEX(WORLDCUP!$AA$4:$AA$147,MATCH(M12,WORLDCUP!$AH$4:$AH$147,0)),1,3)</f>
        <v>Ara</v>
      </c>
      <c r="P12" s="445" t="str">
        <f>IF(ISBLANK(INDEX(WORLDCUP!$AC$4:$AC$147,MATCH(M12,WORLDCUP!$AH$4:$AH$147,0))),"",INDEX(WORLDCUP!$AC$4:$AC$147,MATCH(M12,WORLDCUP!$AH$4:$AH$147,0)))</f>
        <v/>
      </c>
      <c r="Q12" s="445" t="str">
        <f>IF(ISBLANK(INDEX(WORLDCUP!$AD$4:$AD$147,MATCH(M12,WORLDCUP!$AH$4:$AH$147,0))),"",INDEX(WORLDCUP!$AD$4:$AD$147,MATCH(M12,WORLDCUP!$AH$4:$AH$147,0)))</f>
        <v/>
      </c>
      <c r="R12" s="446" t="str">
        <f ca="1">+MID(INDEX(WORLDCUP!$AF$4:$AF$147,MATCH(M12,WORLDCUP!$AH$4:$AH$147,0)),1,3)</f>
        <v>Uru</v>
      </c>
      <c r="S12" s="447">
        <v>1</v>
      </c>
      <c r="T12" s="448" t="str">
        <f ca="1">+MID(INDEX(WORLDCUP!$AL$6:$AL$97,MATCH(X12,WORLDCUP!$AI$6:$AI$97,0)),1,3)</f>
        <v>Esp</v>
      </c>
      <c r="U12" s="449">
        <f ca="1">+INDEX(WORLDCUP!$AM$6:$AM$97,MATCH(X12,WORLDCUP!$AI$6:$AI$97,0))</f>
        <v>0</v>
      </c>
      <c r="V12" s="450">
        <f ca="1">+INDEX(WORLDCUP!$AT$6:$AT$97,MATCH(X12,WORLDCUP!$AI$6:$AI$97,0))</f>
        <v>0</v>
      </c>
      <c r="W12" s="451" t="str">
        <f ca="1">+INDEX(WORLDCUP!$AR$6:$AR$97,MATCH(X12,WORLDCUP!$AI$6:$AI$97,0))&amp;"-"&amp;INDEX(WORLDCUP!$AS$6:$AS$97,MATCH(X12,WORLDCUP!$AI$6:$AI$97,0))</f>
        <v>0-0</v>
      </c>
      <c r="X12" s="181" t="s">
        <v>682</v>
      </c>
      <c r="Y12" s="181">
        <v>75</v>
      </c>
      <c r="Z12" s="425" t="s">
        <v>676</v>
      </c>
      <c r="AA12" s="426" t="str">
        <f ca="1">+MID(INDEX(WORLDCUP!$AA$101:$AA$147,MATCH(Y12,WORLDCUP!$Z$101:$Z$147,0)),1,3)</f>
        <v>1F</v>
      </c>
      <c r="AB12" s="472" t="str">
        <f>+IF(ISBLANK(INDEX(WORLDCUP!$AC$101:$AC$147,MATCH(Y12,WORLDCUP!$Z$101:$Z$147,0))),"",INDEX(WORLDCUP!$AC$101:$AC$147,MATCH(Y12,WORLDCUP!$Z$101:$Z$147,0)))</f>
        <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1</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Sui</v>
      </c>
      <c r="D13" s="445" t="str">
        <f>IF(ISBLANK(INDEX(WORLDCUP!$AC$4:$AC$147,MATCH(A13,WORLDCUP!$AH$4:$AH$147,0))),"",INDEX(WORLDCUP!$AC$4:$AC$147,MATCH(A13,WORLDCUP!$AH$4:$AH$147,0)))</f>
        <v/>
      </c>
      <c r="E13" s="445" t="str">
        <f>IF(ISBLANK(INDEX(WORLDCUP!$AD$4:$AD$147,MATCH(A13,WORLDCUP!$AH$4:$AH$147,0))),"",INDEX(WORLDCUP!$AD$4:$AD$147,MATCH(A13,WORLDCUP!$AH$4:$AH$147,0)))</f>
        <v/>
      </c>
      <c r="F13" s="446" t="str">
        <f ca="1">+MID(INDEX(WORLDCUP!$AF$4:$AF$147,MATCH(A13,WORLDCUP!$AH$4:$AH$147,0)),1,3)</f>
        <v>Bos</v>
      </c>
      <c r="G13" s="467">
        <v>2</v>
      </c>
      <c r="H13" s="468" t="str">
        <f ca="1">+MID(INDEX(WORLDCUP!$AL$6:$AL$97,MATCH(L13,WORLDCUP!$AI$6:$AI$97,0)),1,3)</f>
        <v>Bos</v>
      </c>
      <c r="I13" s="38">
        <f ca="1">+INDEX(WORLDCUP!$AM$6:$AM$97,MATCH(L13,WORLDCUP!$AI$6:$AI$97,0))</f>
        <v>0</v>
      </c>
      <c r="J13" s="39">
        <f ca="1">+INDEX(WORLDCUP!$AT$6:$AT$97,MATCH(L13,WORLDCUP!$AI$6:$AI$97,0))</f>
        <v>0</v>
      </c>
      <c r="K13" s="43" t="str">
        <f ca="1">+INDEX(WORLDCUP!$AR$6:$AR$97,MATCH(L13,WORLDCUP!$AI$6:$AI$97,0))&amp;"-"&amp;INDEX(WORLDCUP!$AS$6:$AS$97,MATCH(L13,WORLDCUP!$AI$6:$AI$97,0))</f>
        <v>0-0</v>
      </c>
      <c r="L13" s="181" t="s">
        <v>661</v>
      </c>
      <c r="M13" s="181">
        <v>38</v>
      </c>
      <c r="N13" s="505"/>
      <c r="O13" s="444" t="str">
        <f ca="1">+MID(INDEX(WORLDCUP!$AA$4:$AA$147,MATCH(M13,WORLDCUP!$AH$4:$AH$147,0)),1,3)</f>
        <v>Esp</v>
      </c>
      <c r="P13" s="445" t="str">
        <f>IF(ISBLANK(INDEX(WORLDCUP!$AC$4:$AC$147,MATCH(M13,WORLDCUP!$AH$4:$AH$147,0))),"",INDEX(WORLDCUP!$AC$4:$AC$147,MATCH(M13,WORLDCUP!$AH$4:$AH$147,0)))</f>
        <v/>
      </c>
      <c r="Q13" s="445" t="str">
        <f>IF(ISBLANK(INDEX(WORLDCUP!$AD$4:$AD$147,MATCH(M13,WORLDCUP!$AH$4:$AH$147,0))),"",INDEX(WORLDCUP!$AD$4:$AD$147,MATCH(M13,WORLDCUP!$AH$4:$AH$147,0)))</f>
        <v/>
      </c>
      <c r="R13" s="446" t="str">
        <f ca="1">+MID(INDEX(WORLDCUP!$AF$4:$AF$147,MATCH(M13,WORLDCUP!$AH$4:$AH$147,0)),1,3)</f>
        <v>Ara</v>
      </c>
      <c r="S13" s="467">
        <v>2</v>
      </c>
      <c r="T13" s="468" t="str">
        <f ca="1">+MID(INDEX(WORLDCUP!$AL$6:$AL$97,MATCH(X13,WORLDCUP!$AI$6:$AI$97,0)),1,3)</f>
        <v>Cab</v>
      </c>
      <c r="U13" s="38">
        <f ca="1">+INDEX(WORLDCUP!$AM$6:$AM$97,MATCH(X13,WORLDCUP!$AI$6:$AI$97,0))</f>
        <v>0</v>
      </c>
      <c r="V13" s="39">
        <f ca="1">+INDEX(WORLDCUP!$AT$6:$AT$97,MATCH(X13,WORLDCUP!$AI$6:$AI$97,0))</f>
        <v>0</v>
      </c>
      <c r="W13" s="43" t="str">
        <f ca="1">+INDEX(WORLDCUP!$AR$6:$AR$97,MATCH(X13,WORLDCUP!$AI$6:$AI$97,0))&amp;"-"&amp;INDEX(WORLDCUP!$AS$6:$AS$97,MATCH(X13,WORLDCUP!$AI$6:$AI$97,0))</f>
        <v>0-0</v>
      </c>
      <c r="X13" s="181" t="s">
        <v>683</v>
      </c>
      <c r="Y13" s="181">
        <v>75</v>
      </c>
      <c r="Z13" s="425" t="s">
        <v>668</v>
      </c>
      <c r="AA13" s="480" t="str">
        <f ca="1">+MID(INDEX(WORLDCUP!$AF$101:$AF$147,MATCH(Y13,WORLDCUP!$Z$101:$Z$147,0)),1,3)</f>
        <v>2C</v>
      </c>
      <c r="AB13" s="481" t="str">
        <f>+IF(ISBLANK(INDEX(WORLDCUP!$AD$101:$AD$147,MATCH(Y13,WORLDCUP!$Z$101:$Z$147,0))),"",INDEX(WORLDCUP!$AD$101:$AD$147,MATCH(Y13,WORLDCUP!$Z$101:$Z$147,0)))</f>
        <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+MID(INDEX(WORLDCUP!$AA$101:$AA$147,MATCH(AL13,WORLDCUP!$Z$101:$Z$147,0)),1,3)</f>
        <v>W97</v>
      </c>
      <c r="AN13" s="509" t="str">
        <f>+IF(ISBLANK(INDEX(WORLDCUP!$AC$101:$AC$147,MATCH(AL13,WORLDCUP!$Z$101:$Z$147,0))),"",INDEX(WORLDCUP!$AC$101:$AC$147,MATCH(AL13,WORLDCUP!$Z$101:$Z$147,0)))</f>
        <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t="str">
        <f>IF(ISBLANK(INDEX(WORLDCUP!$AC$4:$AC$147,MATCH(A14,WORLDCUP!$AH$4:$AH$147,0))),"",INDEX(WORLDCUP!$AC$4:$AC$147,MATCH(A14,WORLDCUP!$AH$4:$AH$147,0)))</f>
        <v/>
      </c>
      <c r="E14" s="445" t="str">
        <f>IF(ISBLANK(INDEX(WORLDCUP!$AD$4:$AD$147,MATCH(A14,WORLDCUP!$AH$4:$AH$147,0))),"",INDEX(WORLDCUP!$AD$4:$AD$147,MATCH(A14,WORLDCUP!$AH$4:$AH$147,0)))</f>
        <v/>
      </c>
      <c r="F14" s="446" t="str">
        <f ca="1">+MID(INDEX(WORLDCUP!$AF$4:$AF$147,MATCH(A14,WORLDCUP!$AH$4:$AH$147,0)),1,3)</f>
        <v>Cat</v>
      </c>
      <c r="G14" s="467">
        <v>3</v>
      </c>
      <c r="H14" s="468" t="str">
        <f ca="1">+MID(INDEX(WORLDCUP!$AL$6:$AL$97,MATCH(L14,WORLDCUP!$AI$6:$AI$97,0)),1,3)</f>
        <v>Cat</v>
      </c>
      <c r="I14" s="38">
        <f ca="1">+INDEX(WORLDCUP!$AM$6:$AM$97,MATCH(L14,WORLDCUP!$AI$6:$AI$97,0))</f>
        <v>0</v>
      </c>
      <c r="J14" s="39">
        <f ca="1">+INDEX(WORLDCUP!$AT$6:$AT$97,MATCH(L14,WORLDCUP!$AI$6:$AI$97,0))</f>
        <v>0</v>
      </c>
      <c r="K14" s="43" t="str">
        <f ca="1">+INDEX(WORLDCUP!$AR$6:$AR$97,MATCH(L14,WORLDCUP!$AI$6:$AI$97,0))&amp;"-"&amp;INDEX(WORLDCUP!$AS$6:$AS$97,MATCH(L14,WORLDCUP!$AI$6:$AI$97,0))</f>
        <v>0-0</v>
      </c>
      <c r="L14" s="181" t="s">
        <v>91</v>
      </c>
      <c r="M14" s="181">
        <v>37</v>
      </c>
      <c r="N14" s="505"/>
      <c r="O14" s="444" t="str">
        <f ca="1">+MID(INDEX(WORLDCUP!$AA$4:$AA$147,MATCH(M14,WORLDCUP!$AH$4:$AH$147,0)),1,3)</f>
        <v>Uru</v>
      </c>
      <c r="P14" s="445" t="str">
        <f>IF(ISBLANK(INDEX(WORLDCUP!$AC$4:$AC$147,MATCH(M14,WORLDCUP!$AH$4:$AH$147,0))),"",INDEX(WORLDCUP!$AC$4:$AC$147,MATCH(M14,WORLDCUP!$AH$4:$AH$147,0)))</f>
        <v/>
      </c>
      <c r="Q14" s="445" t="str">
        <f>IF(ISBLANK(INDEX(WORLDCUP!$AD$4:$AD$147,MATCH(M14,WORLDCUP!$AH$4:$AH$147,0))),"",INDEX(WORLDCUP!$AD$4:$AD$147,MATCH(M14,WORLDCUP!$AH$4:$AH$147,0)))</f>
        <v/>
      </c>
      <c r="R14" s="446" t="str">
        <f ca="1">+MID(INDEX(WORLDCUP!$AF$4:$AF$147,MATCH(M14,WORLDCUP!$AH$4:$AH$147,0)),1,3)</f>
        <v>Cab</v>
      </c>
      <c r="S14" s="467">
        <v>3</v>
      </c>
      <c r="T14" s="468" t="str">
        <f ca="1">+MID(INDEX(WORLDCUP!$AL$6:$AL$97,MATCH(X14,WORLDCUP!$AI$6:$AI$97,0)),1,3)</f>
        <v>Ara</v>
      </c>
      <c r="U14" s="38">
        <f ca="1">+INDEX(WORLDCUP!$AM$6:$AM$97,MATCH(X14,WORLDCUP!$AI$6:$AI$97,0))</f>
        <v>0</v>
      </c>
      <c r="V14" s="39">
        <f ca="1">+INDEX(WORLDCUP!$AT$6:$AT$97,MATCH(X14,WORLDCUP!$AI$6:$AI$97,0))</f>
        <v>0</v>
      </c>
      <c r="W14" s="43" t="str">
        <f ca="1">+INDEX(WORLDCUP!$AR$6:$AR$97,MATCH(X14,WORLDCUP!$AI$6:$AI$97,0))&amp;"-"&amp;INDEX(WORLDCUP!$AS$6:$AS$97,MATCH(X14,WORLDCUP!$AI$6:$AI$97,0))</f>
        <v>0-0</v>
      </c>
      <c r="X14" s="181" t="s">
        <v>446</v>
      </c>
      <c r="Y14" s="181"/>
      <c r="Z14" s="425"/>
      <c r="AA14" s="494"/>
      <c r="AB14" s="494"/>
      <c r="AC14" s="494"/>
      <c r="AD14" s="181"/>
      <c r="AE14" s="429"/>
      <c r="AF14" s="429"/>
      <c r="AG14" s="429"/>
      <c r="AH14" s="181"/>
      <c r="AI14" s="459"/>
      <c r="AJ14" s="459"/>
      <c r="AK14" s="499"/>
      <c r="AL14" s="181">
        <v>101</v>
      </c>
      <c r="AM14" s="508" t="str">
        <f>+MID(INDEX(WORLDCUP!$AF$101:$AF$147,MATCH(AL14,WORLDCUP!$Z$101:$Z$147,0)),1,3)</f>
        <v>W98</v>
      </c>
      <c r="AN14" s="509" t="str">
        <f>+IF(ISBLANK(INDEX(WORLDCUP!$AD$101:$AD$147,MATCH(AL14,WORLDCUP!$Z$101:$Z$147,0))),"",INDEX(WORLDCUP!$AD$101:$AD$147,MATCH(AL14,WORLDCUP!$Z$101:$Z$147,0)))</f>
        <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Sui</v>
      </c>
      <c r="D15" s="445" t="str">
        <f>IF(ISBLANK(INDEX(WORLDCUP!$AC$4:$AC$147,MATCH(A15,WORLDCUP!$AH$4:$AH$147,0))),"",INDEX(WORLDCUP!$AC$4:$AC$147,MATCH(A15,WORLDCUP!$AH$4:$AH$147,0)))</f>
        <v/>
      </c>
      <c r="E15" s="445" t="str">
        <f>IF(ISBLANK(INDEX(WORLDCUP!$AD$4:$AD$147,MATCH(A15,WORLDCUP!$AH$4:$AH$147,0))),"",INDEX(WORLDCUP!$AD$4:$AD$147,MATCH(A15,WORLDCUP!$AH$4:$AH$147,0)))</f>
        <v/>
      </c>
      <c r="F15" s="446" t="str">
        <f ca="1">+MID(INDEX(WORLDCUP!$AF$4:$AF$147,MATCH(A15,WORLDCUP!$AH$4:$AH$147,0)),1,3)</f>
        <v>Can</v>
      </c>
      <c r="G15" s="467">
        <v>4</v>
      </c>
      <c r="H15" s="476" t="str">
        <f ca="1">+MID(INDEX(WORLDCUP!$AL$6:$AL$97,MATCH(L15,WORLDCUP!$AI$6:$AI$97,0)),1,3)</f>
        <v>Sui</v>
      </c>
      <c r="I15" s="477">
        <f ca="1">+INDEX(WORLDCUP!$AM$6:$AM$97,MATCH(L15,WORLDCUP!$AI$6:$AI$97,0))</f>
        <v>0</v>
      </c>
      <c r="J15" s="478">
        <f ca="1">+INDEX(WORLDCUP!$AT$6:$AT$97,MATCH(L15,WORLDCUP!$AI$6:$AI$97,0))</f>
        <v>0</v>
      </c>
      <c r="K15" s="479" t="str">
        <f ca="1">+INDEX(WORLDCUP!$AR$6:$AR$97,MATCH(L15,WORLDCUP!$AI$6:$AI$97,0))&amp;"-"&amp;INDEX(WORLDCUP!$AS$6:$AS$97,MATCH(L15,WORLDCUP!$AI$6:$AI$97,0))</f>
        <v>0-0</v>
      </c>
      <c r="L15" s="181" t="s">
        <v>662</v>
      </c>
      <c r="M15" s="181">
        <v>65</v>
      </c>
      <c r="N15" s="505"/>
      <c r="O15" s="444" t="str">
        <f ca="1">+MID(INDEX(WORLDCUP!$AA$4:$AA$147,MATCH(M15,WORLDCUP!$AH$4:$AH$147,0)),1,3)</f>
        <v>Cab</v>
      </c>
      <c r="P15" s="445" t="str">
        <f>IF(ISBLANK(INDEX(WORLDCUP!$AC$4:$AC$147,MATCH(M15,WORLDCUP!$AH$4:$AH$147,0))),"",INDEX(WORLDCUP!$AC$4:$AC$147,MATCH(M15,WORLDCUP!$AH$4:$AH$147,0)))</f>
        <v/>
      </c>
      <c r="Q15" s="445" t="str">
        <f>IF(ISBLANK(INDEX(WORLDCUP!$AD$4:$AD$147,MATCH(M15,WORLDCUP!$AH$4:$AH$147,0))),"",INDEX(WORLDCUP!$AD$4:$AD$147,MATCH(M15,WORLDCUP!$AH$4:$AH$147,0)))</f>
        <v/>
      </c>
      <c r="R15" s="446" t="str">
        <f ca="1">+MID(INDEX(WORLDCUP!$AF$4:$AF$147,MATCH(M15,WORLDCUP!$AH$4:$AH$147,0)),1,3)</f>
        <v>Ara</v>
      </c>
      <c r="S15" s="467">
        <v>4</v>
      </c>
      <c r="T15" s="476" t="str">
        <f ca="1">+MID(INDEX(WORLDCUP!$AL$6:$AL$97,MATCH(X15,WORLDCUP!$AI$6:$AI$97,0)),1,3)</f>
        <v>Uru</v>
      </c>
      <c r="U15" s="477">
        <f ca="1">+INDEX(WORLDCUP!$AM$6:$AM$97,MATCH(X15,WORLDCUP!$AI$6:$AI$97,0))</f>
        <v>0</v>
      </c>
      <c r="V15" s="478">
        <f ca="1">+INDEX(WORLDCUP!$AT$6:$AT$97,MATCH(X15,WORLDCUP!$AI$6:$AI$97,0))</f>
        <v>0</v>
      </c>
      <c r="W15" s="479" t="str">
        <f ca="1">+INDEX(WORLDCUP!$AR$6:$AR$97,MATCH(X15,WORLDCUP!$AI$6:$AI$97,0))&amp;"-"&amp;INDEX(WORLDCUP!$AS$6:$AS$97,MATCH(X15,WORLDCUP!$AI$6:$AI$97,0))</f>
        <v>0-0</v>
      </c>
      <c r="X15" s="181" t="s">
        <v>684</v>
      </c>
      <c r="Y15" s="181">
        <v>83</v>
      </c>
      <c r="Z15" s="425" t="s">
        <v>692</v>
      </c>
      <c r="AA15" s="426" t="str">
        <f ca="1">+MID(INDEX(WORLDCUP!$AA$101:$AA$147,MATCH(Y15,WORLDCUP!$Z$101:$Z$147,0)),1,3)</f>
        <v>2K</v>
      </c>
      <c r="AB15" s="427" t="str">
        <f>+IF(ISBLANK(INDEX(WORLDCUP!$AC$101:$AC$147,MATCH(Y15,WORLDCUP!$Z$101:$Z$147,0))),"",INDEX(WORLDCUP!$AC$101:$AC$147,MATCH(Y15,WORLDCUP!$Z$101:$Z$147,0)))</f>
        <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t="str">
        <f>IF(ISBLANK(INDEX(WORLDCUP!$AC$4:$AC$147,MATCH(A16,WORLDCUP!$AH$4:$AH$147,0))),"",INDEX(WORLDCUP!$AC$4:$AC$147,MATCH(A16,WORLDCUP!$AH$4:$AH$147,0)))</f>
        <v/>
      </c>
      <c r="E16" s="488" t="str">
        <f>IF(ISBLANK(INDEX(WORLDCUP!$AD$4:$AD$147,MATCH(A16,WORLDCUP!$AH$4:$AH$147,0))),"",INDEX(WORLDCUP!$AD$4:$AD$147,MATCH(A16,WORLDCUP!$AH$4:$AH$147,0)))</f>
        <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t="str">
        <f>IF(ISBLANK(INDEX(WORLDCUP!$AC$4:$AC$147,MATCH(M16,WORLDCUP!$AH$4:$AH$147,0))),"",INDEX(WORLDCUP!$AC$4:$AC$147,MATCH(M16,WORLDCUP!$AH$4:$AH$147,0)))</f>
        <v/>
      </c>
      <c r="Q16" s="488" t="str">
        <f>IF(ISBLANK(INDEX(WORLDCUP!$AD$4:$AD$147,MATCH(M16,WORLDCUP!$AH$4:$AH$147,0))),"",INDEX(WORLDCUP!$AD$4:$AD$147,MATCH(M16,WORLDCUP!$AH$4:$AH$147,0)))</f>
        <v/>
      </c>
      <c r="R16" s="489" t="str">
        <f ca="1">+MID(INDEX(WORLDCUP!$AF$4:$AF$147,MATCH(M16,WORLDCUP!$AH$4:$AH$147,0)),1,3)</f>
        <v>Esp</v>
      </c>
      <c r="S16" s="490"/>
      <c r="T16" s="490"/>
      <c r="U16" s="491"/>
      <c r="V16" s="491"/>
      <c r="W16" s="492"/>
      <c r="X16" s="181"/>
      <c r="Y16" s="181">
        <v>83</v>
      </c>
      <c r="Z16" s="425" t="s">
        <v>695</v>
      </c>
      <c r="AA16" s="426" t="str">
        <f ca="1">+MID(INDEX(WORLDCUP!$AF$101:$AF$147,MATCH(Y16,WORLDCUP!$Z$101:$Z$147,0)),1,3)</f>
        <v>2L</v>
      </c>
      <c r="AB16" s="453" t="str">
        <f>+IF(ISBLANK(INDEX(WORLDCUP!$AD$101:$AD$147,MATCH(Y16,WORLDCUP!$Z$101:$Z$147,0))),"",INDEX(WORLDCUP!$AD$101:$AD$147,MATCH(Y16,WORLDCUP!$Z$101:$Z$147,0)))</f>
        <v/>
      </c>
      <c r="AC16" s="454" t="str">
        <f>+IF(ISBLANK(INDEX(WORLDCUP!$AE$101:$AE$147,MATCH(Y16,WORLDCUP!$Z$101:$Z$147,0))),"","( "&amp;INDEX(WORLDCUP!$AE$101:$AE$147,MATCH(Y16,WORLDCUP!$Z$101:$Z$147,0))&amp;" )")</f>
        <v/>
      </c>
      <c r="AD16" s="455">
        <v>93</v>
      </c>
      <c r="AE16" s="456" t="str">
        <f>+MID(INDEX(WORLDCUP!$AA$101:$AA$147,MATCH(AD16,WORLDCUP!$Z$101:$Z$147,0)),1,3)</f>
        <v>W83</v>
      </c>
      <c r="AF16" s="457" t="str">
        <f>+IF(ISBLANK(INDEX(WORLDCUP!$AC$101:$AC$147,MATCH(AD16,WORLDCUP!$Z$101:$Z$147,0))),"",INDEX(WORLDCUP!$AC$101:$AC$147,MATCH(AD16,WORLDCUP!$Z$101:$Z$147,0)))</f>
        <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1</v>
      </c>
      <c r="BI16" s="463">
        <f ca="1">COUNTIF(Pool!$C$130:$C$161,Fixture!BG16)-BJ16-BK16-BL16-BM16-BN16-BO16</f>
        <v>0</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+MID(INDEX(WORLDCUP!$AF$101:$AF$147,MATCH(AD17,WORLDCUP!$Z$101:$Z$147,0)),1,3)</f>
        <v>W84</v>
      </c>
      <c r="AF17" s="457" t="str">
        <f>+IF(ISBLANK(INDEX(WORLDCUP!$AD$101:$AD$147,MATCH(AD17,WORLDCUP!$Z$101:$Z$147,0))),"",INDEX(WORLDCUP!$AD$101:$AD$147,MATCH(AD17,WORLDCUP!$Z$101:$Z$147,0)))</f>
        <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682</v>
      </c>
      <c r="AA18" s="426" t="str">
        <f ca="1">+MID(INDEX(WORLDCUP!$AA$101:$AA$147,MATCH(Y18,WORLDCUP!$Z$101:$Z$147,0)),1,3)</f>
        <v>1H</v>
      </c>
      <c r="AB18" s="472" t="str">
        <f>+IF(ISBLANK(INDEX(WORLDCUP!$AC$101:$AC$147,MATCH(Y18,WORLDCUP!$Z$101:$Z$147,0))),"",INDEX(WORLDCUP!$AC$101:$AC$147,MATCH(Y18,WORLDCUP!$Z$101:$Z$147,0)))</f>
        <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t="str">
        <f>IF(ISBLANK(INDEX(WORLDCUP!$AC$4:$AC$147,MATCH(A19,WORLDCUP!$AH$4:$AH$147,0))),"",INDEX(WORLDCUP!$AC$4:$AC$147,MATCH(A19,WORLDCUP!$AH$4:$AH$147,0)))</f>
        <v/>
      </c>
      <c r="E19" s="418" t="str">
        <f>IF(ISBLANK(INDEX(WORLDCUP!$AD$4:$AD$147,MATCH(A19,WORLDCUP!$AH$4:$AH$147,0))),"",INDEX(WORLDCUP!$AD$4:$AD$147,MATCH(A19,WORLDCUP!$AH$4:$AH$147,0)))</f>
        <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t="str">
        <f>IF(ISBLANK(INDEX(WORLDCUP!$AC$4:$AC$147,MATCH(M19,WORLDCUP!$AH$4:$AH$147,0))),"",INDEX(WORLDCUP!$AC$4:$AC$147,MATCH(M19,WORLDCUP!$AH$4:$AH$147,0)))</f>
        <v/>
      </c>
      <c r="Q19" s="418" t="str">
        <f>IF(ISBLANK(INDEX(WORLDCUP!$AD$4:$AD$147,MATCH(M19,WORLDCUP!$AH$4:$AH$147,0))),"",INDEX(WORLDCUP!$AD$4:$AD$147,MATCH(M19,WORLDCUP!$AH$4:$AH$147,0)))</f>
        <v/>
      </c>
      <c r="R19" s="419" t="str">
        <f ca="1">+MID(INDEX(WORLDCUP!$AF$4:$AF$147,MATCH(M19,WORLDCUP!$AH$4:$AH$147,0)),1,3)</f>
        <v>Sen</v>
      </c>
      <c r="S19" s="420"/>
      <c r="T19" s="421" t="str">
        <f>+T11</f>
        <v>Sel</v>
      </c>
      <c r="U19" s="422" t="str">
        <f>+U11</f>
        <v>Pts</v>
      </c>
      <c r="V19" s="422" t="str">
        <f>+V11</f>
        <v>DG</v>
      </c>
      <c r="W19" s="423" t="str">
        <f>+W11</f>
        <v>GF-GC</v>
      </c>
      <c r="X19" s="181"/>
      <c r="Y19" s="181">
        <v>84</v>
      </c>
      <c r="Z19" s="425" t="s">
        <v>689</v>
      </c>
      <c r="AA19" s="480" t="str">
        <f ca="1">+MID(INDEX(WORLDCUP!$AF$101:$AF$147,MATCH(Y19,WORLDCUP!$Z$101:$Z$147,0)),1,3)</f>
        <v>2J</v>
      </c>
      <c r="AB19" s="481" t="str">
        <f>+IF(ISBLANK(INDEX(WORLDCUP!$AD$101:$AD$147,MATCH(Y19,WORLDCUP!$Z$101:$Z$147,0))),"",INDEX(WORLDCUP!$AD$101:$AD$147,MATCH(Y19,WORLDCUP!$Z$101:$Z$147,0)))</f>
        <v/>
      </c>
      <c r="AC19" s="507" t="str">
        <f>+IF(ISBLANK(INDEX(WORLDCUP!$AE$101:$AE$147,MATCH(Y19,WORLDCUP!$Z$101:$Z$147,0))),"","( "&amp;INDEX(WORLDCUP!$AE$101:$AE$147,MATCH(Y19,WORLDCUP!$Z$101:$Z$147,0))&amp;" )")</f>
        <v/>
      </c>
      <c r="AD19" s="181"/>
      <c r="AE19" s="474"/>
      <c r="AF19" s="474"/>
      <c r="AG19" s="475"/>
      <c r="AH19" s="500">
        <v>98</v>
      </c>
      <c r="AI19" s="483" t="str">
        <f>+MID(INDEX(WORLDCUP!$AA$101:$AA$147,MATCH(AH19,WORLDCUP!$Z$101:$Z$147,0)),1,3)</f>
        <v>W93</v>
      </c>
      <c r="AJ19" s="484" t="str">
        <f>+IF(ISBLANK(INDEX(WORLDCUP!$AC$101:$AC$147,MATCH(AH19,WORLDCUP!$Z$101:$Z$147,0))),"",INDEX(WORLDCUP!$AC$101:$AC$147,MATCH(AH19,WORLDCUP!$Z$101:$Z$147,0)))</f>
        <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1</v>
      </c>
      <c r="BI19" s="463">
        <f ca="1">COUNTIF(Pool!$C$130:$C$161,Fixture!BG19)-BJ19-BK19-BL19-BM19-BN19-BO19</f>
        <v>0</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t="str">
        <f>IF(ISBLANK(INDEX(WORLDCUP!$AC$4:$AC$147,MATCH(A20,WORLDCUP!$AH$4:$AH$147,0))),"",INDEX(WORLDCUP!$AC$4:$AC$147,MATCH(A20,WORLDCUP!$AH$4:$AH$147,0)))</f>
        <v/>
      </c>
      <c r="E20" s="445" t="str">
        <f>IF(ISBLANK(INDEX(WORLDCUP!$AD$4:$AD$147,MATCH(A20,WORLDCUP!$AH$4:$AH$147,0))),"",INDEX(WORLDCUP!$AD$4:$AD$147,MATCH(A20,WORLDCUP!$AH$4:$AH$147,0)))</f>
        <v/>
      </c>
      <c r="F20" s="446" t="str">
        <f ca="1">+MID(INDEX(WORLDCUP!$AF$4:$AF$147,MATCH(A20,WORLDCUP!$AH$4:$AH$147,0)),1,3)</f>
        <v>Esc</v>
      </c>
      <c r="G20" s="447">
        <v>1</v>
      </c>
      <c r="H20" s="448" t="str">
        <f ca="1">+MID(INDEX(WORLDCUP!$AL$6:$AL$97,MATCH(L20,WORLDCUP!$AI$6:$AI$97,0)),1,3)</f>
        <v>Bra</v>
      </c>
      <c r="I20" s="449">
        <f ca="1">+INDEX(WORLDCUP!$AM$6:$AM$97,MATCH(L20,WORLDCUP!$AI$6:$AI$97,0))</f>
        <v>0</v>
      </c>
      <c r="J20" s="450">
        <f ca="1">+INDEX(WORLDCUP!$AT$6:$AT$97,MATCH(L20,WORLDCUP!$AI$6:$AI$97,0))</f>
        <v>0</v>
      </c>
      <c r="K20" s="451" t="str">
        <f ca="1">+INDEX(WORLDCUP!$AR$6:$AR$97,MATCH(L20,WORLDCUP!$AI$6:$AI$97,0))&amp;"-"&amp;INDEX(WORLDCUP!$AS$6:$AS$97,MATCH(L20,WORLDCUP!$AI$6:$AI$97,0))</f>
        <v>0-0</v>
      </c>
      <c r="L20" s="181" t="s">
        <v>663</v>
      </c>
      <c r="M20" s="181">
        <v>18</v>
      </c>
      <c r="N20" s="522"/>
      <c r="O20" s="444" t="str">
        <f ca="1">+MID(INDEX(WORLDCUP!$AA$4:$AA$147,MATCH(M20,WORLDCUP!$AH$4:$AH$147,0)),1,3)</f>
        <v>Ira</v>
      </c>
      <c r="P20" s="445" t="str">
        <f>IF(ISBLANK(INDEX(WORLDCUP!$AC$4:$AC$147,MATCH(M20,WORLDCUP!$AH$4:$AH$147,0))),"",INDEX(WORLDCUP!$AC$4:$AC$147,MATCH(M20,WORLDCUP!$AH$4:$AH$147,0)))</f>
        <v/>
      </c>
      <c r="Q20" s="445" t="str">
        <f>IF(ISBLANK(INDEX(WORLDCUP!$AD$4:$AD$147,MATCH(M20,WORLDCUP!$AH$4:$AH$147,0))),"",INDEX(WORLDCUP!$AD$4:$AD$147,MATCH(M20,WORLDCUP!$AH$4:$AH$147,0)))</f>
        <v/>
      </c>
      <c r="R20" s="446" t="str">
        <f ca="1">+MID(INDEX(WORLDCUP!$AF$4:$AF$147,MATCH(M20,WORLDCUP!$AH$4:$AH$147,0)),1,3)</f>
        <v>Nor</v>
      </c>
      <c r="S20" s="447">
        <v>1</v>
      </c>
      <c r="T20" s="448" t="str">
        <f ca="1">+MID(INDEX(WORLDCUP!$AL$6:$AL$97,MATCH(X20,WORLDCUP!$AI$6:$AI$97,0)),1,3)</f>
        <v>Fra</v>
      </c>
      <c r="U20" s="449">
        <f ca="1">+INDEX(WORLDCUP!$AM$6:$AM$97,MATCH(X20,WORLDCUP!$AI$6:$AI$97,0))</f>
        <v>0</v>
      </c>
      <c r="V20" s="450">
        <f ca="1">+INDEX(WORLDCUP!$AT$6:$AT$97,MATCH(X20,WORLDCUP!$AI$6:$AI$97,0))</f>
        <v>0</v>
      </c>
      <c r="W20" s="451" t="str">
        <f ca="1">+INDEX(WORLDCUP!$AR$6:$AR$97,MATCH(X20,WORLDCUP!$AI$6:$AI$97,0))&amp;"-"&amp;INDEX(WORLDCUP!$AS$6:$AS$97,MATCH(X20,WORLDCUP!$AI$6:$AI$97,0))</f>
        <v>0-0</v>
      </c>
      <c r="X20" s="181" t="s">
        <v>685</v>
      </c>
      <c r="Y20" s="181"/>
      <c r="Z20" s="425"/>
      <c r="AA20" s="494"/>
      <c r="AB20" s="494"/>
      <c r="AC20" s="494"/>
      <c r="AD20" s="181"/>
      <c r="AE20" s="429"/>
      <c r="AF20" s="429"/>
      <c r="AG20" s="475"/>
      <c r="AH20" s="181">
        <v>98</v>
      </c>
      <c r="AI20" s="483" t="str">
        <f>+MID(INDEX(WORLDCUP!$AF$101:$AF$147,MATCH(AH20,WORLDCUP!$Z$101:$Z$147,0)),1,3)</f>
        <v>W94</v>
      </c>
      <c r="AJ20" s="484" t="str">
        <f>+IF(ISBLANK(INDEX(WORLDCUP!$AD$101:$AD$147,MATCH(AH20,WORLDCUP!$Z$101:$Z$147,0))),"",INDEX(WORLDCUP!$AD$101:$AD$147,MATCH(AH20,WORLDCUP!$Z$101:$Z$147,0)))</f>
        <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Esc</v>
      </c>
      <c r="D21" s="445" t="str">
        <f>IF(ISBLANK(INDEX(WORLDCUP!$AC$4:$AC$147,MATCH(A21,WORLDCUP!$AH$4:$AH$147,0))),"",INDEX(WORLDCUP!$AC$4:$AC$147,MATCH(A21,WORLDCUP!$AH$4:$AH$147,0)))</f>
        <v/>
      </c>
      <c r="E21" s="445" t="str">
        <f>IF(ISBLANK(INDEX(WORLDCUP!$AD$4:$AD$147,MATCH(A21,WORLDCUP!$AH$4:$AH$147,0))),"",INDEX(WORLDCUP!$AD$4:$AD$147,MATCH(A21,WORLDCUP!$AH$4:$AH$147,0)))</f>
        <v/>
      </c>
      <c r="F21" s="446" t="str">
        <f ca="1">+MID(INDEX(WORLDCUP!$AF$4:$AF$147,MATCH(A21,WORLDCUP!$AH$4:$AH$147,0)),1,3)</f>
        <v>Mar</v>
      </c>
      <c r="G21" s="467">
        <v>2</v>
      </c>
      <c r="H21" s="468" t="str">
        <f ca="1">+MID(INDEX(WORLDCUP!$AL$6:$AL$97,MATCH(L21,WORLDCUP!$AI$6:$AI$97,0)),1,3)</f>
        <v>Mar</v>
      </c>
      <c r="I21" s="38">
        <f ca="1">+INDEX(WORLDCUP!$AM$6:$AM$97,MATCH(L21,WORLDCUP!$AI$6:$AI$97,0))</f>
        <v>0</v>
      </c>
      <c r="J21" s="39">
        <f ca="1">+INDEX(WORLDCUP!$AT$6:$AT$97,MATCH(L21,WORLDCUP!$AI$6:$AI$97,0))</f>
        <v>0</v>
      </c>
      <c r="K21" s="43" t="str">
        <f ca="1">+INDEX(WORLDCUP!$AR$6:$AR$97,MATCH(L21,WORLDCUP!$AI$6:$AI$97,0))&amp;"-"&amp;INDEX(WORLDCUP!$AS$6:$AS$97,MATCH(L21,WORLDCUP!$AI$6:$AI$97,0))</f>
        <v>0-0</v>
      </c>
      <c r="L21" s="181" t="s">
        <v>668</v>
      </c>
      <c r="M21" s="181">
        <v>42</v>
      </c>
      <c r="N21" s="522"/>
      <c r="O21" s="444" t="str">
        <f ca="1">+MID(INDEX(WORLDCUP!$AA$4:$AA$147,MATCH(M21,WORLDCUP!$AH$4:$AH$147,0)),1,3)</f>
        <v>Fra</v>
      </c>
      <c r="P21" s="445" t="str">
        <f>IF(ISBLANK(INDEX(WORLDCUP!$AC$4:$AC$147,MATCH(M21,WORLDCUP!$AH$4:$AH$147,0))),"",INDEX(WORLDCUP!$AC$4:$AC$147,MATCH(M21,WORLDCUP!$AH$4:$AH$147,0)))</f>
        <v/>
      </c>
      <c r="Q21" s="445" t="str">
        <f>IF(ISBLANK(INDEX(WORLDCUP!$AD$4:$AD$147,MATCH(M21,WORLDCUP!$AH$4:$AH$147,0))),"",INDEX(WORLDCUP!$AD$4:$AD$147,MATCH(M21,WORLDCUP!$AH$4:$AH$147,0)))</f>
        <v/>
      </c>
      <c r="R21" s="446" t="str">
        <f ca="1">+MID(INDEX(WORLDCUP!$AF$4:$AF$147,MATCH(M21,WORLDCUP!$AH$4:$AH$147,0)),1,3)</f>
        <v>Ira</v>
      </c>
      <c r="S21" s="467">
        <v>2</v>
      </c>
      <c r="T21" s="468" t="str">
        <f ca="1">+MID(INDEX(WORLDCUP!$AL$6:$AL$97,MATCH(X21,WORLDCUP!$AI$6:$AI$97,0)),1,3)</f>
        <v>Sen</v>
      </c>
      <c r="U21" s="38">
        <f ca="1">+INDEX(WORLDCUP!$AM$6:$AM$97,MATCH(X21,WORLDCUP!$AI$6:$AI$97,0))</f>
        <v>0</v>
      </c>
      <c r="V21" s="39">
        <f ca="1">+INDEX(WORLDCUP!$AT$6:$AT$97,MATCH(X21,WORLDCUP!$AI$6:$AI$97,0))</f>
        <v>0</v>
      </c>
      <c r="W21" s="43" t="str">
        <f ca="1">+INDEX(WORLDCUP!$AR$6:$AR$97,MATCH(X21,WORLDCUP!$AI$6:$AI$97,0))&amp;"-"&amp;INDEX(WORLDCUP!$AS$6:$AS$97,MATCH(X21,WORLDCUP!$AI$6:$AI$97,0))</f>
        <v>0-0</v>
      </c>
      <c r="X21" s="181" t="s">
        <v>686</v>
      </c>
      <c r="Y21" s="181">
        <v>81</v>
      </c>
      <c r="Z21" s="425" t="s">
        <v>670</v>
      </c>
      <c r="AA21" s="426" t="str">
        <f ca="1">+MID(INDEX(WORLDCUP!$AA$101:$AA$147,MATCH(Y21,WORLDCUP!$Z$101:$Z$147,0)),1,3)</f>
        <v>1D</v>
      </c>
      <c r="AB21" s="427" t="str">
        <f>+IF(ISBLANK(INDEX(WORLDCUP!$AC$101:$AC$147,MATCH(Y21,WORLDCUP!$Z$101:$Z$147,0))),"",INDEX(WORLDCUP!$AC$101:$AC$147,MATCH(Y21,WORLDCUP!$Z$101:$Z$147,0)))</f>
        <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WORLDCUP!AA150</f>
        <v>WF</v>
      </c>
      <c r="BB21" s="528"/>
      <c r="BC21" s="529"/>
      <c r="BD21" s="153"/>
      <c r="BE21" s="153"/>
      <c r="BG21" s="462" t="str">
        <f ca="1">Horarios!Q20</f>
        <v>Ecuador</v>
      </c>
      <c r="BH21" s="463">
        <f t="shared" ca="1" si="0"/>
        <v>1</v>
      </c>
      <c r="BI21" s="463">
        <f ca="1">COUNTIF(Pool!$C$130:$C$161,Fixture!BG21)-BJ21-BK21-BL21-BM21-BN21-BO21</f>
        <v>0</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t="str">
        <f>IF(ISBLANK(INDEX(WORLDCUP!$AC$4:$AC$147,MATCH(A22,WORLDCUP!$AH$4:$AH$147,0))),"",INDEX(WORLDCUP!$AC$4:$AC$147,MATCH(A22,WORLDCUP!$AH$4:$AH$147,0)))</f>
        <v/>
      </c>
      <c r="E22" s="445" t="str">
        <f>IF(ISBLANK(INDEX(WORLDCUP!$AD$4:$AD$147,MATCH(A22,WORLDCUP!$AH$4:$AH$147,0))),"",INDEX(WORLDCUP!$AD$4:$AD$147,MATCH(A22,WORLDCUP!$AH$4:$AH$147,0)))</f>
        <v/>
      </c>
      <c r="F22" s="446" t="str">
        <f ca="1">+MID(INDEX(WORLDCUP!$AF$4:$AF$147,MATCH(A22,WORLDCUP!$AH$4:$AH$147,0)),1,3)</f>
        <v>Hai</v>
      </c>
      <c r="G22" s="467">
        <v>3</v>
      </c>
      <c r="H22" s="468" t="str">
        <f ca="1">+MID(INDEX(WORLDCUP!$AL$6:$AL$97,MATCH(L22,WORLDCUP!$AI$6:$AI$97,0)),1,3)</f>
        <v>Hai</v>
      </c>
      <c r="I22" s="38">
        <f ca="1">+INDEX(WORLDCUP!$AM$6:$AM$97,MATCH(L22,WORLDCUP!$AI$6:$AI$97,0))</f>
        <v>0</v>
      </c>
      <c r="J22" s="39">
        <f ca="1">+INDEX(WORLDCUP!$AT$6:$AT$97,MATCH(L22,WORLDCUP!$AI$6:$AI$97,0))</f>
        <v>0</v>
      </c>
      <c r="K22" s="43" t="str">
        <f ca="1">+INDEX(WORLDCUP!$AR$6:$AR$97,MATCH(L22,WORLDCUP!$AI$6:$AI$97,0))&amp;"-"&amp;INDEX(WORLDCUP!$AS$6:$AS$97,MATCH(L22,WORLDCUP!$AI$6:$AI$97,0))</f>
        <v>0-0</v>
      </c>
      <c r="L22" s="181" t="s">
        <v>92</v>
      </c>
      <c r="M22" s="181">
        <v>41</v>
      </c>
      <c r="N22" s="522"/>
      <c r="O22" s="444" t="str">
        <f ca="1">+MID(INDEX(WORLDCUP!$AA$4:$AA$147,MATCH(M22,WORLDCUP!$AH$4:$AH$147,0)),1,3)</f>
        <v>Nor</v>
      </c>
      <c r="P22" s="445" t="str">
        <f>IF(ISBLANK(INDEX(WORLDCUP!$AC$4:$AC$147,MATCH(M22,WORLDCUP!$AH$4:$AH$147,0))),"",INDEX(WORLDCUP!$AC$4:$AC$147,MATCH(M22,WORLDCUP!$AH$4:$AH$147,0)))</f>
        <v/>
      </c>
      <c r="Q22" s="445" t="str">
        <f>IF(ISBLANK(INDEX(WORLDCUP!$AD$4:$AD$147,MATCH(M22,WORLDCUP!$AH$4:$AH$147,0))),"",INDEX(WORLDCUP!$AD$4:$AD$147,MATCH(M22,WORLDCUP!$AH$4:$AH$147,0)))</f>
        <v/>
      </c>
      <c r="R22" s="446" t="str">
        <f ca="1">+MID(INDEX(WORLDCUP!$AF$4:$AF$147,MATCH(M22,WORLDCUP!$AH$4:$AH$147,0)),1,3)</f>
        <v>Sen</v>
      </c>
      <c r="S22" s="467">
        <v>3</v>
      </c>
      <c r="T22" s="468" t="str">
        <f ca="1">+MID(INDEX(WORLDCUP!$AL$6:$AL$97,MATCH(X22,WORLDCUP!$AI$6:$AI$97,0)),1,3)</f>
        <v>Ira</v>
      </c>
      <c r="U22" s="38">
        <f ca="1">+INDEX(WORLDCUP!$AM$6:$AM$97,MATCH(X22,WORLDCUP!$AI$6:$AI$97,0))</f>
        <v>0</v>
      </c>
      <c r="V22" s="39">
        <f ca="1">+INDEX(WORLDCUP!$AT$6:$AT$97,MATCH(X22,WORLDCUP!$AI$6:$AI$97,0))</f>
        <v>0</v>
      </c>
      <c r="W22" s="43" t="str">
        <f ca="1">+INDEX(WORLDCUP!$AR$6:$AR$97,MATCH(X22,WORLDCUP!$AI$6:$AI$97,0))&amp;"-"&amp;INDEX(WORLDCUP!$AS$6:$AS$97,MATCH(X22,WORLDCUP!$AI$6:$AI$97,0))</f>
        <v>0-0</v>
      </c>
      <c r="X22" s="181" t="s">
        <v>450</v>
      </c>
      <c r="Y22" s="181">
        <v>81</v>
      </c>
      <c r="Z22" s="425" t="s">
        <v>738</v>
      </c>
      <c r="AA22" s="426" t="str">
        <f ca="1">+MID(INDEX(WORLDCUP!$AF$101:$AF$147,MATCH(Y22,WORLDCUP!$Z$101:$Z$147,0)),1,IF(WORLDCUP!$H$113&lt;144,6,3))</f>
        <v>3BEFIJ</v>
      </c>
      <c r="AB22" s="453" t="str">
        <f>+IF(ISBLANK(INDEX(WORLDCUP!$AD$101:$AD$147,MATCH(Y22,WORLDCUP!$Z$101:$Z$147,0))),"",INDEX(WORLDCUP!$AD$101:$AD$147,MATCH(Y22,WORLDCUP!$Z$101:$Z$147,0)))</f>
        <v/>
      </c>
      <c r="AC22" s="454" t="str">
        <f>+IF(ISBLANK(INDEX(WORLDCUP!$AE$101:$AE$147,MATCH(Y22,WORLDCUP!$Z$101:$Z$147,0))),"","( "&amp;INDEX(WORLDCUP!$AE$101:$AE$147,MATCH(Y22,WORLDCUP!$Z$101:$Z$147,0))&amp;" )")</f>
        <v/>
      </c>
      <c r="AD22" s="455">
        <v>94</v>
      </c>
      <c r="AE22" s="456" t="str">
        <f>+MID(INDEX(WORLDCUP!$AA$101:$AA$147,MATCH(AD22,WORLDCUP!$Z$101:$Z$147,0)),1,3)</f>
        <v>W81</v>
      </c>
      <c r="AF22" s="457" t="str">
        <f>+IF(ISBLANK(INDEX(WORLDCUP!$AC$101:$AC$147,MATCH(AD22,WORLDCUP!$Z$101:$Z$147,0))),"",INDEX(WORLDCUP!$AC$101:$AC$147,MATCH(AD22,WORLDCUP!$Z$101:$Z$147,0)))</f>
        <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1</v>
      </c>
      <c r="BI22" s="463">
        <f ca="1">COUNTIF(Pool!$C$130:$C$161,Fixture!BG22)-BJ22-BK22-BL22-BM22-BN22-BO22</f>
        <v>0</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t="str">
        <f>IF(ISBLANK(INDEX(WORLDCUP!$AC$4:$AC$147,MATCH(A23,WORLDCUP!$AH$4:$AH$147,0))),"",INDEX(WORLDCUP!$AC$4:$AC$147,MATCH(A23,WORLDCUP!$AH$4:$AH$147,0)))</f>
        <v/>
      </c>
      <c r="E23" s="445" t="str">
        <f>IF(ISBLANK(INDEX(WORLDCUP!$AD$4:$AD$147,MATCH(A23,WORLDCUP!$AH$4:$AH$147,0))),"",INDEX(WORLDCUP!$AD$4:$AD$147,MATCH(A23,WORLDCUP!$AH$4:$AH$147,0)))</f>
        <v/>
      </c>
      <c r="F23" s="446" t="str">
        <f ca="1">+MID(INDEX(WORLDCUP!$AF$4:$AF$147,MATCH(A23,WORLDCUP!$AH$4:$AH$147,0)),1,3)</f>
        <v>Bra</v>
      </c>
      <c r="G23" s="467">
        <v>4</v>
      </c>
      <c r="H23" s="476" t="str">
        <f ca="1">+MID(INDEX(WORLDCUP!$AL$6:$AL$97,MATCH(L23,WORLDCUP!$AI$6:$AI$97,0)),1,3)</f>
        <v>Esc</v>
      </c>
      <c r="I23" s="477">
        <f ca="1">+INDEX(WORLDCUP!$AM$6:$AM$97,MATCH(L23,WORLDCUP!$AI$6:$AI$97,0))</f>
        <v>0</v>
      </c>
      <c r="J23" s="478">
        <f ca="1">+INDEX(WORLDCUP!$AT$6:$AT$97,MATCH(L23,WORLDCUP!$AI$6:$AI$97,0))</f>
        <v>0</v>
      </c>
      <c r="K23" s="479" t="str">
        <f ca="1">+INDEX(WORLDCUP!$AR$6:$AR$97,MATCH(L23,WORLDCUP!$AI$6:$AI$97,0))&amp;"-"&amp;INDEX(WORLDCUP!$AS$6:$AS$97,MATCH(L23,WORLDCUP!$AI$6:$AI$97,0))</f>
        <v>0-0</v>
      </c>
      <c r="L23" s="181" t="s">
        <v>669</v>
      </c>
      <c r="M23" s="181">
        <v>61</v>
      </c>
      <c r="N23" s="522"/>
      <c r="O23" s="444" t="str">
        <f ca="1">+MID(INDEX(WORLDCUP!$AA$4:$AA$147,MATCH(M23,WORLDCUP!$AH$4:$AH$147,0)),1,3)</f>
        <v>Nor</v>
      </c>
      <c r="P23" s="445" t="str">
        <f>IF(ISBLANK(INDEX(WORLDCUP!$AC$4:$AC$147,MATCH(M23,WORLDCUP!$AH$4:$AH$147,0))),"",INDEX(WORLDCUP!$AC$4:$AC$147,MATCH(M23,WORLDCUP!$AH$4:$AH$147,0)))</f>
        <v/>
      </c>
      <c r="Q23" s="445" t="str">
        <f>IF(ISBLANK(INDEX(WORLDCUP!$AD$4:$AD$147,MATCH(M23,WORLDCUP!$AH$4:$AH$147,0))),"",INDEX(WORLDCUP!$AD$4:$AD$147,MATCH(M23,WORLDCUP!$AH$4:$AH$147,0)))</f>
        <v/>
      </c>
      <c r="R23" s="446" t="str">
        <f ca="1">+MID(INDEX(WORLDCUP!$AF$4:$AF$147,MATCH(M23,WORLDCUP!$AH$4:$AH$147,0)),1,3)</f>
        <v>Fra</v>
      </c>
      <c r="S23" s="467">
        <v>4</v>
      </c>
      <c r="T23" s="476" t="str">
        <f ca="1">+MID(INDEX(WORLDCUP!$AL$6:$AL$97,MATCH(X23,WORLDCUP!$AI$6:$AI$97,0)),1,3)</f>
        <v>Nor</v>
      </c>
      <c r="U23" s="477">
        <f ca="1">+INDEX(WORLDCUP!$AM$6:$AM$97,MATCH(X23,WORLDCUP!$AI$6:$AI$97,0))</f>
        <v>0</v>
      </c>
      <c r="V23" s="478">
        <f ca="1">+INDEX(WORLDCUP!$AT$6:$AT$97,MATCH(X23,WORLDCUP!$AI$6:$AI$97,0))</f>
        <v>0</v>
      </c>
      <c r="W23" s="479" t="str">
        <f ca="1">+INDEX(WORLDCUP!$AR$6:$AR$97,MATCH(X23,WORLDCUP!$AI$6:$AI$97,0))&amp;"-"&amp;INDEX(WORLDCUP!$AS$6:$AS$97,MATCH(X23,WORLDCUP!$AI$6:$AI$97,0))</f>
        <v>0-0</v>
      </c>
      <c r="X23" s="181" t="s">
        <v>687</v>
      </c>
      <c r="Y23" s="181"/>
      <c r="Z23" s="425"/>
      <c r="AA23" s="469"/>
      <c r="AB23" s="469"/>
      <c r="AC23" s="470"/>
      <c r="AD23" s="181">
        <v>94</v>
      </c>
      <c r="AE23" s="456" t="str">
        <f>+MID(INDEX(WORLDCUP!$AF$101:$AF$147,MATCH(AD23,WORLDCUP!$Z$101:$Z$147,0)),1,3)</f>
        <v>W82</v>
      </c>
      <c r="AF23" s="457" t="str">
        <f>+IF(ISBLANK(INDEX(WORLDCUP!$AD$101:$AD$147,MATCH(AD23,WORLDCUP!$Z$101:$Z$147,0))),"",INDEX(WORLDCUP!$AD$101:$AD$147,MATCH(AD23,WORLDCUP!$Z$101:$Z$147,0)))</f>
        <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+WORLDCUP!AA151</f>
        <v>LF</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Mar</v>
      </c>
      <c r="D24" s="488" t="str">
        <f>IF(ISBLANK(INDEX(WORLDCUP!$AC$4:$AC$147,MATCH(A24,WORLDCUP!$AH$4:$AH$147,0))),"",INDEX(WORLDCUP!$AC$4:$AC$147,MATCH(A24,WORLDCUP!$AH$4:$AH$147,0)))</f>
        <v/>
      </c>
      <c r="E24" s="488" t="str">
        <f>IF(ISBLANK(INDEX(WORLDCUP!$AD$4:$AD$147,MATCH(A24,WORLDCUP!$AH$4:$AH$147,0))),"",INDEX(WORLDCUP!$AD$4:$AD$147,MATCH(A24,WORLDCUP!$AH$4:$AH$147,0)))</f>
        <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t="str">
        <f>IF(ISBLANK(INDEX(WORLDCUP!$AC$4:$AC$147,MATCH(M24,WORLDCUP!$AH$4:$AH$147,0))),"",INDEX(WORLDCUP!$AC$4:$AC$147,MATCH(M24,WORLDCUP!$AH$4:$AH$147,0)))</f>
        <v/>
      </c>
      <c r="Q24" s="488" t="str">
        <f>IF(ISBLANK(INDEX(WORLDCUP!$AD$4:$AD$147,MATCH(M24,WORLDCUP!$AH$4:$AH$147,0))),"",INDEX(WORLDCUP!$AD$4:$AD$147,MATCH(M24,WORLDCUP!$AH$4:$AH$147,0)))</f>
        <v/>
      </c>
      <c r="R24" s="489" t="str">
        <f ca="1">+MID(INDEX(WORLDCUP!$AF$4:$AF$147,MATCH(M24,WORLDCUP!$AH$4:$AH$147,0)),1,3)</f>
        <v>Ira</v>
      </c>
      <c r="S24" s="490"/>
      <c r="T24" s="490"/>
      <c r="U24" s="491"/>
      <c r="V24" s="491"/>
      <c r="W24" s="492"/>
      <c r="X24" s="181"/>
      <c r="Y24" s="181">
        <v>82</v>
      </c>
      <c r="Z24" s="425" t="s">
        <v>679</v>
      </c>
      <c r="AA24" s="426" t="str">
        <f ca="1">+MID(INDEX(WORLDCUP!$AA$101:$AA$147,MATCH(Y24,WORLDCUP!$Z$101:$Z$147,0)),1,3)</f>
        <v>1G</v>
      </c>
      <c r="AB24" s="472" t="str">
        <f>+IF(ISBLANK(INDEX(WORLDCUP!$AC$101:$AC$147,MATCH(Y24,WORLDCUP!$Z$101:$Z$147,0))),"",INDEX(WORLDCUP!$AC$101:$AC$147,MATCH(Y24,WORLDCUP!$Z$101:$Z$147,0)))</f>
        <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1</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0</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739</v>
      </c>
      <c r="AA25" s="480" t="str">
        <f ca="1">+MID(INDEX(WORLDCUP!$AF$101:$AF$147,MATCH(Y25,WORLDCUP!$Z$101:$Z$147,0)),1,IF(WORLDCUP!$H$113&lt;144,6,3))</f>
        <v>3AEHIJ</v>
      </c>
      <c r="AB25" s="481" t="str">
        <f>+IF(ISBLANK(INDEX(WORLDCUP!$AD$101:$AD$147,MATCH(Y25,WORLDCUP!$Z$101:$Z$147,0))),"",INDEX(WORLDCUP!$AD$101:$AD$147,MATCH(Y25,WORLDCUP!$Z$101:$Z$147,0)))</f>
        <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+MID(INDEX(WORLDCUP!$AA$101:$AA$147,MATCH(AT25,WORLDCUP!$Z$101:$Z$147,0)),1,4)</f>
        <v>W101</v>
      </c>
      <c r="AV25" s="538" t="str">
        <f>+IF(ISBLANK(INDEX(WORLDCUP!$AC$101:$AC$147,MATCH(AT25,WORLDCUP!$Z$101:$Z$147,0))),"",INDEX(WORLDCUP!$AC$101:$AC$147,MATCH(AT25,WORLDCUP!$Z$101:$Z$147,0)))</f>
        <v/>
      </c>
      <c r="AW25" s="539" t="str">
        <f>+IF(ISBLANK(INDEX(WORLDCUP!$AB$101:$AB$147,MATCH(AT25,WORLDCUP!$Z$101:$Z$147,0))),"","( "&amp;INDEX(WORLDCUP!$AB$101:$AB$147,MATCH(AT25,WORLDCUP!$Z$101:$Z$147,0))&amp;" )")</f>
        <v/>
      </c>
      <c r="AX25" s="540"/>
      <c r="AY25" s="527"/>
      <c r="AZ25" s="528" t="str">
        <f>+WORLDCUP!AA152</f>
        <v>W34</v>
      </c>
      <c r="BA25" s="530"/>
      <c r="BB25" s="533"/>
      <c r="BC25" s="529"/>
      <c r="BD25" s="153"/>
      <c r="BE25" s="153"/>
      <c r="BG25" s="462" t="str">
        <f ca="1">Horarios!Q24</f>
        <v>Estados Unidos</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+MID(INDEX(WORLDCUP!$AF$101:$AF$147,MATCH(AT26,WORLDCUP!$Z$101:$Z$147,0)),1,4)</f>
        <v>W102</v>
      </c>
      <c r="AV26" s="538" t="str">
        <f>+IF(ISBLANK(INDEX(WORLDCUP!$AD$101:$AD$147,MATCH(AT26,WORLDCUP!$Z$101:$Z$147,0))),"",INDEX(WORLDCUP!$AD$101:$AD$147,MATCH(AT26,WORLDCUP!$Z$101:$Z$147,0)))</f>
        <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1</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6" thickBot="1" x14ac:dyDescent="0.25">
      <c r="A27" s="181">
        <v>4</v>
      </c>
      <c r="B27" s="542" t="s">
        <v>74</v>
      </c>
      <c r="C27" s="417" t="str">
        <f ca="1">+MID(INDEX(WORLDCUP!$AA$4:$AA$147,MATCH(A27,WORLDCUP!$AH$4:$AH$147,0)),1,3)</f>
        <v>Est</v>
      </c>
      <c r="D27" s="418" t="str">
        <f>IF(ISBLANK(INDEX(WORLDCUP!$AC$4:$AC$147,MATCH(A27,WORLDCUP!$AH$4:$AH$147,0))),"",INDEX(WORLDCUP!$AC$4:$AC$147,MATCH(A27,WORLDCUP!$AH$4:$AH$147,0)))</f>
        <v/>
      </c>
      <c r="E27" s="418" t="str">
        <f>IF(ISBLANK(INDEX(WORLDCUP!$AD$4:$AD$147,MATCH(A27,WORLDCUP!$AH$4:$AH$147,0))),"",INDEX(WORLDCUP!$AD$4:$AD$147,MATCH(A27,WORLDCUP!$AH$4:$AH$147,0)))</f>
        <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t="str">
        <f>IF(ISBLANK(INDEX(WORLDCUP!$AC$4:$AC$147,MATCH(M27,WORLDCUP!$AH$4:$AH$147,0))),"",INDEX(WORLDCUP!$AC$4:$AC$147,MATCH(M27,WORLDCUP!$AH$4:$AH$147,0)))</f>
        <v/>
      </c>
      <c r="Q27" s="418" t="str">
        <f>IF(ISBLANK(INDEX(WORLDCUP!$AD$4:$AD$147,MATCH(M27,WORLDCUP!$AH$4:$AH$147,0))),"",INDEX(WORLDCUP!$AD$4:$AD$147,MATCH(M27,WORLDCUP!$AH$4:$AH$147,0)))</f>
        <v/>
      </c>
      <c r="R27" s="419" t="str">
        <f ca="1">+MID(INDEX(WORLDCUP!$AF$4:$AF$147,MATCH(M27,WORLDCUP!$AH$4:$AH$147,0)),1,3)</f>
        <v>Arg</v>
      </c>
      <c r="S27" s="420"/>
      <c r="T27" s="421" t="str">
        <f>+T19</f>
        <v>Sel</v>
      </c>
      <c r="U27" s="422" t="str">
        <f>+U19</f>
        <v>Pts</v>
      </c>
      <c r="V27" s="422" t="str">
        <f>+V19</f>
        <v>DG</v>
      </c>
      <c r="W27" s="423" t="str">
        <f>+W19</f>
        <v>GF-GC</v>
      </c>
      <c r="X27" s="181"/>
      <c r="Y27" s="181">
        <v>76</v>
      </c>
      <c r="Z27" s="425" t="s">
        <v>663</v>
      </c>
      <c r="AA27" s="426" t="str">
        <f ca="1">+MID(INDEX(WORLDCUP!$AA$101:$AA$147,MATCH(Y27,WORLDCUP!$Z$101:$Z$147,0)),1,3)</f>
        <v>1C</v>
      </c>
      <c r="AB27" s="427" t="str">
        <f>+IF(ISBLANK(INDEX(WORLDCUP!$AC$101:$AC$147,MATCH(Y27,WORLDCUP!$Z$101:$Z$147,0))),"",INDEX(WORLDCUP!$AC$101:$AC$147,MATCH(Y27,WORLDCUP!$Z$101:$Z$147,0)))</f>
        <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t="str">
        <f>IF(ISBLANK(INDEX(WORLDCUP!$AC$4:$AC$147,MATCH(A28,WORLDCUP!$AH$4:$AH$147,0))),"",INDEX(WORLDCUP!$AC$4:$AC$147,MATCH(A28,WORLDCUP!$AH$4:$AH$147,0)))</f>
        <v/>
      </c>
      <c r="E28" s="445" t="str">
        <f>IF(ISBLANK(INDEX(WORLDCUP!$AD$4:$AD$147,MATCH(A28,WORLDCUP!$AH$4:$AH$147,0))),"",INDEX(WORLDCUP!$AD$4:$AD$147,MATCH(A28,WORLDCUP!$AH$4:$AH$147,0)))</f>
        <v/>
      </c>
      <c r="F28" s="446" t="str">
        <f ca="1">+MID(INDEX(WORLDCUP!$AF$4:$AF$147,MATCH(A28,WORLDCUP!$AH$4:$AH$147,0)),1,3)</f>
        <v>Tur</v>
      </c>
      <c r="G28" s="447">
        <v>1</v>
      </c>
      <c r="H28" s="448" t="str">
        <f ca="1">+MID(INDEX(WORLDCUP!$AL$6:$AL$97,MATCH(L28,WORLDCUP!$AI$6:$AI$97,0)),1,3)</f>
        <v>Est</v>
      </c>
      <c r="I28" s="449">
        <f ca="1">+INDEX(WORLDCUP!$AM$6:$AM$97,MATCH(L28,WORLDCUP!$AI$6:$AI$97,0))</f>
        <v>0</v>
      </c>
      <c r="J28" s="450">
        <f ca="1">+INDEX(WORLDCUP!$AT$6:$AT$97,MATCH(L28,WORLDCUP!$AI$6:$AI$97,0))</f>
        <v>0</v>
      </c>
      <c r="K28" s="451" t="str">
        <f ca="1">+INDEX(WORLDCUP!$AR$6:$AR$97,MATCH(L28,WORLDCUP!$AI$6:$AI$97,0))&amp;"-"&amp;INDEX(WORLDCUP!$AS$6:$AS$97,MATCH(L28,WORLDCUP!$AI$6:$AI$97,0))</f>
        <v>0-0</v>
      </c>
      <c r="L28" s="181" t="s">
        <v>670</v>
      </c>
      <c r="M28" s="181">
        <v>20</v>
      </c>
      <c r="N28" s="545"/>
      <c r="O28" s="444" t="str">
        <f ca="1">+MID(INDEX(WORLDCUP!$AA$4:$AA$147,MATCH(M28,WORLDCUP!$AH$4:$AH$147,0)),1,3)</f>
        <v>Aus</v>
      </c>
      <c r="P28" s="445" t="str">
        <f>IF(ISBLANK(INDEX(WORLDCUP!$AC$4:$AC$147,MATCH(M28,WORLDCUP!$AH$4:$AH$147,0))),"",INDEX(WORLDCUP!$AC$4:$AC$147,MATCH(M28,WORLDCUP!$AH$4:$AH$147,0)))</f>
        <v/>
      </c>
      <c r="Q28" s="445" t="str">
        <f>IF(ISBLANK(INDEX(WORLDCUP!$AD$4:$AD$147,MATCH(M28,WORLDCUP!$AH$4:$AH$147,0))),"",INDEX(WORLDCUP!$AD$4:$AD$147,MATCH(M28,WORLDCUP!$AH$4:$AH$147,0)))</f>
        <v/>
      </c>
      <c r="R28" s="446" t="str">
        <f ca="1">+MID(INDEX(WORLDCUP!$AF$4:$AF$147,MATCH(M28,WORLDCUP!$AH$4:$AH$147,0)),1,3)</f>
        <v>Jor</v>
      </c>
      <c r="S28" s="447">
        <v>1</v>
      </c>
      <c r="T28" s="448" t="str">
        <f ca="1">+MID(INDEX(WORLDCUP!$AL$6:$AL$97,MATCH(X28,WORLDCUP!$AI$6:$AI$97,0)),1,3)</f>
        <v>Arg</v>
      </c>
      <c r="U28" s="449">
        <f ca="1">+INDEX(WORLDCUP!$AM$6:$AM$97,MATCH(X28,WORLDCUP!$AI$6:$AI$97,0))</f>
        <v>0</v>
      </c>
      <c r="V28" s="450">
        <f ca="1">+INDEX(WORLDCUP!$AT$6:$AT$97,MATCH(X28,WORLDCUP!$AI$6:$AI$97,0))</f>
        <v>0</v>
      </c>
      <c r="W28" s="451" t="str">
        <f ca="1">+INDEX(WORLDCUP!$AR$6:$AR$97,MATCH(X28,WORLDCUP!$AI$6:$AI$97,0))&amp;"-"&amp;INDEX(WORLDCUP!$AS$6:$AS$97,MATCH(X28,WORLDCUP!$AI$6:$AI$97,0))</f>
        <v>0-0</v>
      </c>
      <c r="X28" s="181" t="s">
        <v>688</v>
      </c>
      <c r="Y28" s="181">
        <v>76</v>
      </c>
      <c r="Z28" s="425" t="s">
        <v>677</v>
      </c>
      <c r="AA28" s="426" t="str">
        <f ca="1">+MID(INDEX(WORLDCUP!$AF$101:$AF$147,MATCH(Y28,WORLDCUP!$Z$101:$Z$147,0)),1,3)</f>
        <v>2F</v>
      </c>
      <c r="AB28" s="453" t="str">
        <f>+IF(ISBLANK(INDEX(WORLDCUP!$AD$101:$AD$147,MATCH(Y28,WORLDCUP!$Z$101:$Z$147,0))),"",INDEX(WORLDCUP!$AD$101:$AD$147,MATCH(Y28,WORLDCUP!$Z$101:$Z$147,0)))</f>
        <v/>
      </c>
      <c r="AC28" s="454" t="str">
        <f>+IF(ISBLANK(INDEX(WORLDCUP!$AE$101:$AE$147,MATCH(Y28,WORLDCUP!$Z$101:$Z$147,0))),"","( "&amp;INDEX(WORLDCUP!$AE$101:$AE$147,MATCH(Y28,WORLDCUP!$Z$101:$Z$147,0))&amp;" )")</f>
        <v/>
      </c>
      <c r="AD28" s="455">
        <v>91</v>
      </c>
      <c r="AE28" s="456" t="str">
        <f>+MID(INDEX(WORLDCUP!$AA$101:$AA$147,MATCH(AD28,WORLDCUP!$Z$101:$Z$147,0)),1,3)</f>
        <v>W76</v>
      </c>
      <c r="AF28" s="457" t="str">
        <f>+IF(ISBLANK(INDEX(WORLDCUP!$AC$101:$AC$147,MATCH(AD28,WORLDCUP!$Z$101:$Z$147,0))),"",INDEX(WORLDCUP!$AC$101:$AC$147,MATCH(AD28,WORLDCUP!$Z$101:$Z$147,0)))</f>
        <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t="str">
        <f>IF(ISBLANK(INDEX(WORLDCUP!$AC$4:$AC$147,MATCH(A29,WORLDCUP!$AH$4:$AH$147,0))),"",INDEX(WORLDCUP!$AC$4:$AC$147,MATCH(A29,WORLDCUP!$AH$4:$AH$147,0)))</f>
        <v/>
      </c>
      <c r="E29" s="445" t="str">
        <f>IF(ISBLANK(INDEX(WORLDCUP!$AD$4:$AD$147,MATCH(A29,WORLDCUP!$AH$4:$AH$147,0))),"",INDEX(WORLDCUP!$AD$4:$AD$147,MATCH(A29,WORLDCUP!$AH$4:$AH$147,0)))</f>
        <v/>
      </c>
      <c r="F29" s="446" t="str">
        <f ca="1">+MID(INDEX(WORLDCUP!$AF$4:$AF$147,MATCH(A29,WORLDCUP!$AH$4:$AH$147,0)),1,3)</f>
        <v>Aus</v>
      </c>
      <c r="G29" s="467">
        <v>2</v>
      </c>
      <c r="H29" s="468" t="str">
        <f ca="1">+MID(INDEX(WORLDCUP!$AL$6:$AL$97,MATCH(L29,WORLDCUP!$AI$6:$AI$97,0)),1,3)</f>
        <v>Par</v>
      </c>
      <c r="I29" s="38">
        <f ca="1">+INDEX(WORLDCUP!$AM$6:$AM$97,MATCH(L29,WORLDCUP!$AI$6:$AI$97,0))</f>
        <v>0</v>
      </c>
      <c r="J29" s="39">
        <f ca="1">+INDEX(WORLDCUP!$AT$6:$AT$97,MATCH(L29,WORLDCUP!$AI$6:$AI$97,0))</f>
        <v>0</v>
      </c>
      <c r="K29" s="43" t="str">
        <f ca="1">+INDEX(WORLDCUP!$AR$6:$AR$97,MATCH(L29,WORLDCUP!$AI$6:$AI$97,0))&amp;"-"&amp;INDEX(WORLDCUP!$AS$6:$AS$97,MATCH(L29,WORLDCUP!$AI$6:$AI$97,0))</f>
        <v>0-0</v>
      </c>
      <c r="L29" s="181" t="s">
        <v>671</v>
      </c>
      <c r="M29" s="181">
        <v>43</v>
      </c>
      <c r="N29" s="545"/>
      <c r="O29" s="444" t="str">
        <f ca="1">+MID(INDEX(WORLDCUP!$AA$4:$AA$147,MATCH(M29,WORLDCUP!$AH$4:$AH$147,0)),1,3)</f>
        <v>Arg</v>
      </c>
      <c r="P29" s="445" t="str">
        <f>IF(ISBLANK(INDEX(WORLDCUP!$AC$4:$AC$147,MATCH(M29,WORLDCUP!$AH$4:$AH$147,0))),"",INDEX(WORLDCUP!$AC$4:$AC$147,MATCH(M29,WORLDCUP!$AH$4:$AH$147,0)))</f>
        <v/>
      </c>
      <c r="Q29" s="445" t="str">
        <f>IF(ISBLANK(INDEX(WORLDCUP!$AD$4:$AD$147,MATCH(M29,WORLDCUP!$AH$4:$AH$147,0))),"",INDEX(WORLDCUP!$AD$4:$AD$147,MATCH(M29,WORLDCUP!$AH$4:$AH$147,0)))</f>
        <v/>
      </c>
      <c r="R29" s="446" t="str">
        <f ca="1">+MID(INDEX(WORLDCUP!$AF$4:$AF$147,MATCH(M29,WORLDCUP!$AH$4:$AH$147,0)),1,3)</f>
        <v>Aus</v>
      </c>
      <c r="S29" s="467">
        <v>2</v>
      </c>
      <c r="T29" s="468" t="str">
        <f ca="1">+MID(INDEX(WORLDCUP!$AL$6:$AL$97,MATCH(X29,WORLDCUP!$AI$6:$AI$97,0)),1,3)</f>
        <v>Arg</v>
      </c>
      <c r="U29" s="38">
        <f ca="1">+INDEX(WORLDCUP!$AM$6:$AM$97,MATCH(X29,WORLDCUP!$AI$6:$AI$97,0))</f>
        <v>0</v>
      </c>
      <c r="V29" s="39">
        <f ca="1">+INDEX(WORLDCUP!$AT$6:$AT$97,MATCH(X29,WORLDCUP!$AI$6:$AI$97,0))</f>
        <v>0</v>
      </c>
      <c r="W29" s="43" t="str">
        <f ca="1">+INDEX(WORLDCUP!$AR$6:$AR$97,MATCH(X29,WORLDCUP!$AI$6:$AI$97,0))&amp;"-"&amp;INDEX(WORLDCUP!$AS$6:$AS$97,MATCH(X29,WORLDCUP!$AI$6:$AI$97,0))</f>
        <v>0-0</v>
      </c>
      <c r="X29" s="181" t="s">
        <v>689</v>
      </c>
      <c r="Y29" s="181"/>
      <c r="Z29" s="425"/>
      <c r="AA29" s="469"/>
      <c r="AB29" s="469"/>
      <c r="AC29" s="470"/>
      <c r="AD29" s="181">
        <v>91</v>
      </c>
      <c r="AE29" s="456" t="str">
        <f>+MID(INDEX(WORLDCUP!$AF$101:$AF$147,MATCH(AD29,WORLDCUP!$Z$101:$Z$147,0)),1,3)</f>
        <v>W78</v>
      </c>
      <c r="AF29" s="457" t="str">
        <f>+IF(ISBLANK(INDEX(WORLDCUP!$AD$101:$AD$147,MATCH(AD29,WORLDCUP!$Z$101:$Z$147,0))),"",INDEX(WORLDCUP!$AD$101:$AD$147,MATCH(AD29,WORLDCUP!$Z$101:$Z$147,0)))</f>
        <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1</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6" thickBot="1" x14ac:dyDescent="0.25">
      <c r="A30" s="181">
        <v>31</v>
      </c>
      <c r="B30" s="544"/>
      <c r="C30" s="444" t="str">
        <f ca="1">+MID(INDEX(WORLDCUP!$AA$4:$AA$147,MATCH(A30,WORLDCUP!$AH$4:$AH$147,0)),1,3)</f>
        <v>Tur</v>
      </c>
      <c r="D30" s="445" t="str">
        <f>IF(ISBLANK(INDEX(WORLDCUP!$AC$4:$AC$147,MATCH(A30,WORLDCUP!$AH$4:$AH$147,0))),"",INDEX(WORLDCUP!$AC$4:$AC$147,MATCH(A30,WORLDCUP!$AH$4:$AH$147,0)))</f>
        <v/>
      </c>
      <c r="E30" s="445" t="str">
        <f>IF(ISBLANK(INDEX(WORLDCUP!$AD$4:$AD$147,MATCH(A30,WORLDCUP!$AH$4:$AH$147,0))),"",INDEX(WORLDCUP!$AD$4:$AD$147,MATCH(A30,WORLDCUP!$AH$4:$AH$147,0)))</f>
        <v/>
      </c>
      <c r="F30" s="446" t="str">
        <f ca="1">+MID(INDEX(WORLDCUP!$AF$4:$AF$147,MATCH(A30,WORLDCUP!$AH$4:$AH$147,0)),1,3)</f>
        <v>Par</v>
      </c>
      <c r="G30" s="467">
        <v>3</v>
      </c>
      <c r="H30" s="468" t="str">
        <f ca="1">+MID(INDEX(WORLDCUP!$AL$6:$AL$97,MATCH(L30,WORLDCUP!$AI$6:$AI$97,0)),1,3)</f>
        <v>Aus</v>
      </c>
      <c r="I30" s="38">
        <f ca="1">+INDEX(WORLDCUP!$AM$6:$AM$97,MATCH(L30,WORLDCUP!$AI$6:$AI$97,0))</f>
        <v>0</v>
      </c>
      <c r="J30" s="39">
        <f ca="1">+INDEX(WORLDCUP!$AT$6:$AT$97,MATCH(L30,WORLDCUP!$AI$6:$AI$97,0))</f>
        <v>0</v>
      </c>
      <c r="K30" s="43" t="str">
        <f ca="1">+INDEX(WORLDCUP!$AR$6:$AR$97,MATCH(L30,WORLDCUP!$AI$6:$AI$97,0))&amp;"-"&amp;INDEX(WORLDCUP!$AS$6:$AS$97,MATCH(L30,WORLDCUP!$AI$6:$AI$97,0))</f>
        <v>0-0</v>
      </c>
      <c r="L30" s="181" t="s">
        <v>93</v>
      </c>
      <c r="M30" s="181">
        <v>44</v>
      </c>
      <c r="N30" s="545"/>
      <c r="O30" s="444" t="str">
        <f ca="1">+MID(INDEX(WORLDCUP!$AA$4:$AA$147,MATCH(M30,WORLDCUP!$AH$4:$AH$147,0)),1,3)</f>
        <v>Jor</v>
      </c>
      <c r="P30" s="445" t="str">
        <f>IF(ISBLANK(INDEX(WORLDCUP!$AC$4:$AC$147,MATCH(M30,WORLDCUP!$AH$4:$AH$147,0))),"",INDEX(WORLDCUP!$AC$4:$AC$147,MATCH(M30,WORLDCUP!$AH$4:$AH$147,0)))</f>
        <v/>
      </c>
      <c r="Q30" s="445" t="str">
        <f>IF(ISBLANK(INDEX(WORLDCUP!$AD$4:$AD$147,MATCH(M30,WORLDCUP!$AH$4:$AH$147,0))),"",INDEX(WORLDCUP!$AD$4:$AD$147,MATCH(M30,WORLDCUP!$AH$4:$AH$147,0)))</f>
        <v/>
      </c>
      <c r="R30" s="446" t="str">
        <f ca="1">+MID(INDEX(WORLDCUP!$AF$4:$AF$147,MATCH(M30,WORLDCUP!$AH$4:$AH$147,0)),1,3)</f>
        <v>Arg</v>
      </c>
      <c r="S30" s="467">
        <v>3</v>
      </c>
      <c r="T30" s="468" t="str">
        <f ca="1">+MID(INDEX(WORLDCUP!$AL$6:$AL$97,MATCH(X30,WORLDCUP!$AI$6:$AI$97,0)),1,3)</f>
        <v>Aus</v>
      </c>
      <c r="U30" s="38">
        <f ca="1">+INDEX(WORLDCUP!$AM$6:$AM$97,MATCH(X30,WORLDCUP!$AI$6:$AI$97,0))</f>
        <v>0</v>
      </c>
      <c r="V30" s="39">
        <f ca="1">+INDEX(WORLDCUP!$AT$6:$AT$97,MATCH(X30,WORLDCUP!$AI$6:$AI$97,0))</f>
        <v>0</v>
      </c>
      <c r="W30" s="43" t="str">
        <f ca="1">+INDEX(WORLDCUP!$AR$6:$AR$97,MATCH(X30,WORLDCUP!$AI$6:$AI$97,0))&amp;"-"&amp;INDEX(WORLDCUP!$AS$6:$AS$97,MATCH(X30,WORLDCUP!$AI$6:$AI$97,0))</f>
        <v>0-0</v>
      </c>
      <c r="X30" s="181" t="s">
        <v>451</v>
      </c>
      <c r="Y30" s="181">
        <v>78</v>
      </c>
      <c r="Z30" s="425" t="s">
        <v>674</v>
      </c>
      <c r="AA30" s="426" t="str">
        <f ca="1">+MID(INDEX(WORLDCUP!$AA$101:$AA$147,MATCH(Y30,WORLDCUP!$Z$101:$Z$147,0)),1,3)</f>
        <v>2E</v>
      </c>
      <c r="AB30" s="472" t="str">
        <f>+IF(ISBLANK(INDEX(WORLDCUP!$AC$101:$AC$147,MATCH(Y30,WORLDCUP!$Z$101:$Z$147,0))),"",INDEX(WORLDCUP!$AC$101:$AC$147,MATCH(Y30,WORLDCUP!$Z$101:$Z$147,0)))</f>
        <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t="str">
        <f>IF(ISBLANK(INDEX(WORLDCUP!$AC$4:$AC$147,MATCH(A31,WORLDCUP!$AH$4:$AH$147,0))),"",INDEX(WORLDCUP!$AC$4:$AC$147,MATCH(A31,WORLDCUP!$AH$4:$AH$147,0)))</f>
        <v/>
      </c>
      <c r="E31" s="445" t="str">
        <f>IF(ISBLANK(INDEX(WORLDCUP!$AD$4:$AD$147,MATCH(A31,WORLDCUP!$AH$4:$AH$147,0))),"",INDEX(WORLDCUP!$AD$4:$AD$147,MATCH(A31,WORLDCUP!$AH$4:$AH$147,0)))</f>
        <v/>
      </c>
      <c r="F31" s="446" t="str">
        <f ca="1">+MID(INDEX(WORLDCUP!$AF$4:$AF$147,MATCH(A31,WORLDCUP!$AH$4:$AH$147,0)),1,3)</f>
        <v>Est</v>
      </c>
      <c r="G31" s="467">
        <v>4</v>
      </c>
      <c r="H31" s="476" t="str">
        <f ca="1">+MID(INDEX(WORLDCUP!$AL$6:$AL$97,MATCH(L31,WORLDCUP!$AI$6:$AI$97,0)),1,3)</f>
        <v>Tur</v>
      </c>
      <c r="I31" s="477">
        <f ca="1">+INDEX(WORLDCUP!$AM$6:$AM$97,MATCH(L31,WORLDCUP!$AI$6:$AI$97,0))</f>
        <v>0</v>
      </c>
      <c r="J31" s="478">
        <f ca="1">+INDEX(WORLDCUP!$AT$6:$AT$97,MATCH(L31,WORLDCUP!$AI$6:$AI$97,0))</f>
        <v>0</v>
      </c>
      <c r="K31" s="479" t="str">
        <f ca="1">+INDEX(WORLDCUP!$AR$6:$AR$97,MATCH(L31,WORLDCUP!$AI$6:$AI$97,0))&amp;"-"&amp;INDEX(WORLDCUP!$AS$6:$AS$97,MATCH(L31,WORLDCUP!$AI$6:$AI$97,0))</f>
        <v>0-0</v>
      </c>
      <c r="L31" s="181" t="s">
        <v>672</v>
      </c>
      <c r="M31" s="181">
        <v>69</v>
      </c>
      <c r="N31" s="545"/>
      <c r="O31" s="444" t="str">
        <f ca="1">+MID(INDEX(WORLDCUP!$AA$4:$AA$147,MATCH(M31,WORLDCUP!$AH$4:$AH$147,0)),1,3)</f>
        <v>Arg</v>
      </c>
      <c r="P31" s="445" t="str">
        <f>IF(ISBLANK(INDEX(WORLDCUP!$AC$4:$AC$147,MATCH(M31,WORLDCUP!$AH$4:$AH$147,0))),"",INDEX(WORLDCUP!$AC$4:$AC$147,MATCH(M31,WORLDCUP!$AH$4:$AH$147,0)))</f>
        <v/>
      </c>
      <c r="Q31" s="445" t="str">
        <f>IF(ISBLANK(INDEX(WORLDCUP!$AD$4:$AD$147,MATCH(M31,WORLDCUP!$AH$4:$AH$147,0))),"",INDEX(WORLDCUP!$AD$4:$AD$147,MATCH(M31,WORLDCUP!$AH$4:$AH$147,0)))</f>
        <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0</v>
      </c>
      <c r="W31" s="479" t="str">
        <f ca="1">+INDEX(WORLDCUP!$AR$6:$AR$97,MATCH(X31,WORLDCUP!$AI$6:$AI$97,0))&amp;"-"&amp;INDEX(WORLDCUP!$AS$6:$AS$97,MATCH(X31,WORLDCUP!$AI$6:$AI$97,0))</f>
        <v>0-0</v>
      </c>
      <c r="X31" s="181" t="s">
        <v>690</v>
      </c>
      <c r="Y31" s="181">
        <v>78</v>
      </c>
      <c r="Z31" s="425" t="s">
        <v>686</v>
      </c>
      <c r="AA31" s="480" t="str">
        <f ca="1">+MID(INDEX(WORLDCUP!$AF$101:$AF$147,MATCH(Y31,WORLDCUP!$Z$101:$Z$147,0)),1,3)</f>
        <v>2I</v>
      </c>
      <c r="AB31" s="481" t="str">
        <f>+IF(ISBLANK(INDEX(WORLDCUP!$AD$101:$AD$147,MATCH(Y31,WORLDCUP!$Z$101:$Z$147,0))),"",INDEX(WORLDCUP!$AD$101:$AD$147,MATCH(Y31,WORLDCUP!$Z$101:$Z$147,0)))</f>
        <v/>
      </c>
      <c r="AC31" s="507" t="str">
        <f>+IF(ISBLANK(INDEX(WORLDCUP!$AE$101:$AE$147,MATCH(Y31,WORLDCUP!$Z$101:$Z$147,0))),"","( "&amp;INDEX(WORLDCUP!$AE$101:$AE$147,MATCH(Y31,WORLDCUP!$Z$101:$Z$147,0))&amp;" )")</f>
        <v/>
      </c>
      <c r="AD31" s="181"/>
      <c r="AE31" s="474"/>
      <c r="AF31" s="474"/>
      <c r="AG31" s="475"/>
      <c r="AH31" s="500">
        <v>99</v>
      </c>
      <c r="AI31" s="483" t="str">
        <f>+MID(INDEX(WORLDCUP!$AA$101:$AA$147,MATCH(AH31,WORLDCUP!$Z$101:$Z$147,0)),1,3)</f>
        <v>W91</v>
      </c>
      <c r="AJ31" s="484" t="str">
        <f>+IF(ISBLANK(INDEX(WORLDCUP!$AC$101:$AC$147,MATCH(AH31,WORLDCUP!$Z$101:$Z$147,0))),"",INDEX(WORLDCUP!$AC$101:$AC$147,MATCH(AH31,WORLDCUP!$Z$101:$Z$147,0)))</f>
        <v/>
      </c>
      <c r="AK31" s="485" t="str">
        <f>+IF(ISBLANK(INDEX(WORLDCUP!$AB$101:$AB$147,MATCH(AH31,WORLDCUP!$Z$101:$Z$147,0))),"","( "&amp;INDEX(WORLDCUP!$AB$101:$AB$147,MATCH(AH31,WORLDCUP!$Z$101:$Z$147,0))&amp;" )")</f>
        <v/>
      </c>
      <c r="AL31" s="181"/>
      <c r="AM31" s="431"/>
      <c r="AN31" s="431"/>
      <c r="AO31" s="512"/>
      <c r="AP31" s="546">
        <v>103</v>
      </c>
      <c r="AQ31" s="547" t="str">
        <f>+MID(INDEX(WORLDCUP!$AA$101:$AA$147,MATCH(AP31,WORLDCUP!$Z$101:$Z$147,0)),1,4)</f>
        <v>L101</v>
      </c>
      <c r="AR31" s="548" t="str">
        <f>+IF(ISBLANK(INDEX(WORLDCUP!$AC$101:$AC$147,MATCH(AP31,WORLDCUP!$Z$101:$Z$147,0))),"",INDEX(WORLDCUP!$AC$101:$AC$147,MATCH(AP31,WORLDCUP!$Z$101:$Z$147,0)))</f>
        <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t="str">
        <f>IF(ISBLANK(INDEX(WORLDCUP!$AC$4:$AC$147,MATCH(A32,WORLDCUP!$AH$4:$AH$147,0))),"",INDEX(WORLDCUP!$AC$4:$AC$147,MATCH(A32,WORLDCUP!$AH$4:$AH$147,0)))</f>
        <v/>
      </c>
      <c r="E32" s="488" t="str">
        <f>IF(ISBLANK(INDEX(WORLDCUP!$AD$4:$AD$147,MATCH(A32,WORLDCUP!$AH$4:$AH$147,0))),"",INDEX(WORLDCUP!$AD$4:$AD$147,MATCH(A32,WORLDCUP!$AH$4:$AH$147,0)))</f>
        <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t="str">
        <f>IF(ISBLANK(INDEX(WORLDCUP!$AC$4:$AC$147,MATCH(M32,WORLDCUP!$AH$4:$AH$147,0))),"",INDEX(WORLDCUP!$AC$4:$AC$147,MATCH(M32,WORLDCUP!$AH$4:$AH$147,0)))</f>
        <v/>
      </c>
      <c r="Q32" s="488" t="str">
        <f>IF(ISBLANK(INDEX(WORLDCUP!$AD$4:$AD$147,MATCH(M32,WORLDCUP!$AH$4:$AH$147,0))),"",INDEX(WORLDCUP!$AD$4:$AD$147,MATCH(M32,WORLDCUP!$AH$4:$AH$147,0)))</f>
        <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+MID(INDEX(WORLDCUP!$AF$101:$AF$147,MATCH(AH32,WORLDCUP!$Z$101:$Z$147,0)),1,3)</f>
        <v>W92</v>
      </c>
      <c r="AJ32" s="484" t="str">
        <f>+IF(ISBLANK(INDEX(WORLDCUP!$AD$101:$AD$147,MATCH(AH32,WORLDCUP!$Z$101:$Z$147,0))),"",INDEX(WORLDCUP!$AD$101:$AD$147,MATCH(AH32,WORLDCUP!$Z$101:$Z$147,0)))</f>
        <v/>
      </c>
      <c r="AK32" s="495" t="str">
        <f>+IF(ISBLANK(INDEX(WORLDCUP!$AE$101:$AE$147,MATCH(AH32,WORLDCUP!$Z$101:$Z$147,0))),"","( "&amp;INDEX(WORLDCUP!$AE$101:$AE$147,MATCH(AH32,WORLDCUP!$Z$101:$Z$147,0))&amp;" )")</f>
        <v/>
      </c>
      <c r="AL32" s="181"/>
      <c r="AM32" s="431"/>
      <c r="AN32" s="431"/>
      <c r="AO32" s="512"/>
      <c r="AP32" s="415">
        <v>103</v>
      </c>
      <c r="AQ32" s="547" t="str">
        <f>+MID(INDEX(WORLDCUP!$AF$101:$AF$147,MATCH(AP32,WORLDCUP!$Z$101:$Z$147,0)),1,4)</f>
        <v>L102</v>
      </c>
      <c r="AR32" s="548" t="str">
        <f>+IF(ISBLANK(INDEX(WORLDCUP!$AD$101:$AD$147,MATCH(AP32,WORLDCUP!$Z$101:$Z$147,0))),"",INDEX(WORLDCUP!$AD$101:$AD$147,MATCH(AP32,WORLDCUP!$Z$101:$Z$147,0)))</f>
        <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657</v>
      </c>
      <c r="AA33" s="426" t="str">
        <f ca="1">+MID(INDEX(WORLDCUP!$AA$101:$AA$147,MATCH(Y33,WORLDCUP!$Z$101:$Z$147,0)),1,3)</f>
        <v>1A</v>
      </c>
      <c r="AB33" s="427" t="str">
        <f>+IF(ISBLANK(INDEX(WORLDCUP!$AC$101:$AC$147,MATCH(Y33,WORLDCUP!$Z$101:$Z$147,0))),"",INDEX(WORLDCUP!$AC$101:$AC$147,MATCH(Y33,WORLDCUP!$Z$101:$Z$147,0)))</f>
        <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736</v>
      </c>
      <c r="AA34" s="426" t="str">
        <f ca="1">+MID(INDEX(WORLDCUP!$AF$101:$AF$147,MATCH(Y34,WORLDCUP!$Z$101:$Z$147,0)),1,IF(WORLDCUP!$H$113&lt;144,6,3))</f>
        <v>3CEFHI</v>
      </c>
      <c r="AB34" s="453" t="str">
        <f>+IF(ISBLANK(INDEX(WORLDCUP!$AD$101:$AD$147,MATCH(Y34,WORLDCUP!$Z$101:$Z$147,0))),"",INDEX(WORLDCUP!$AD$101:$AD$147,MATCH(Y34,WORLDCUP!$Z$101:$Z$147,0)))</f>
        <v/>
      </c>
      <c r="AC34" s="454" t="str">
        <f>+IF(ISBLANK(INDEX(WORLDCUP!$AE$101:$AE$147,MATCH(Y34,WORLDCUP!$Z$101:$Z$147,0))),"","( "&amp;INDEX(WORLDCUP!$AE$101:$AE$147,MATCH(Y34,WORLDCUP!$Z$101:$Z$147,0))&amp;" )")</f>
        <v/>
      </c>
      <c r="AD34" s="455">
        <v>92</v>
      </c>
      <c r="AE34" s="456" t="str">
        <f>+MID(INDEX(WORLDCUP!$AA$101:$AA$147,MATCH(AD34,WORLDCUP!$Z$101:$Z$147,0)),1,3)</f>
        <v>W79</v>
      </c>
      <c r="AF34" s="457" t="str">
        <f>+IF(ISBLANK(INDEX(WORLDCUP!$AC$101:$AC$147,MATCH(AD34,WORLDCUP!$Z$101:$Z$147,0))),"",INDEX(WORLDCUP!$AC$101:$AC$147,MATCH(AD34,WORLDCUP!$Z$101:$Z$147,0)))</f>
        <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1</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t="str">
        <f>IF(ISBLANK(INDEX(WORLDCUP!$AC$4:$AC$147,MATCH(A35,WORLDCUP!$AH$4:$AH$147,0))),"",INDEX(WORLDCUP!$AC$4:$AC$147,MATCH(A35,WORLDCUP!$AH$4:$AH$147,0)))</f>
        <v/>
      </c>
      <c r="E35" s="418" t="str">
        <f>IF(ISBLANK(INDEX(WORLDCUP!$AD$4:$AD$147,MATCH(A35,WORLDCUP!$AH$4:$AH$147,0))),"",INDEX(WORLDCUP!$AD$4:$AD$147,MATCH(A35,WORLDCUP!$AH$4:$AH$147,0)))</f>
        <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t="str">
        <f>IF(ISBLANK(INDEX(WORLDCUP!$AC$4:$AC$147,MATCH(M35,WORLDCUP!$AH$4:$AH$147,0))),"",INDEX(WORLDCUP!$AC$4:$AC$147,MATCH(M35,WORLDCUP!$AH$4:$AH$147,0)))</f>
        <v/>
      </c>
      <c r="Q35" s="418" t="str">
        <f>IF(ISBLANK(INDEX(WORLDCUP!$AD$4:$AD$147,MATCH(M35,WORLDCUP!$AH$4:$AH$147,0))),"",INDEX(WORLDCUP!$AD$4:$AD$147,MATCH(M35,WORLDCUP!$AH$4:$AH$147,0)))</f>
        <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+MID(INDEX(WORLDCUP!$AF$101:$AF$147,MATCH(AD35,WORLDCUP!$Z$101:$Z$147,0)),1,3)</f>
        <v>W80</v>
      </c>
      <c r="AF35" s="457" t="str">
        <f>+IF(ISBLANK(INDEX(WORLDCUP!$AD$101:$AD$147,MATCH(AD35,WORLDCUP!$Z$101:$Z$147,0))),"",INDEX(WORLDCUP!$AD$101:$AD$147,MATCH(AD35,WORLDCUP!$Z$101:$Z$147,0)))</f>
        <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1</v>
      </c>
      <c r="BI35" s="463">
        <f ca="1">COUNTIF(Pool!$C$130:$C$161,Fixture!BG35)-BJ35-BK35-BL35-BM35-BN35-BO35</f>
        <v>0</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Cos</v>
      </c>
      <c r="D36" s="445" t="str">
        <f>IF(ISBLANK(INDEX(WORLDCUP!$AC$4:$AC$147,MATCH(A36,WORLDCUP!$AH$4:$AH$147,0))),"",INDEX(WORLDCUP!$AC$4:$AC$147,MATCH(A36,WORLDCUP!$AH$4:$AH$147,0)))</f>
        <v/>
      </c>
      <c r="E36" s="445" t="str">
        <f>IF(ISBLANK(INDEX(WORLDCUP!$AD$4:$AD$147,MATCH(A36,WORLDCUP!$AH$4:$AH$147,0))),"",INDEX(WORLDCUP!$AD$4:$AD$147,MATCH(A36,WORLDCUP!$AH$4:$AH$147,0)))</f>
        <v/>
      </c>
      <c r="F36" s="446" t="str">
        <f ca="1">+MID(INDEX(WORLDCUP!$AF$4:$AF$147,MATCH(A36,WORLDCUP!$AH$4:$AH$147,0)),1,3)</f>
        <v>Ecu</v>
      </c>
      <c r="G36" s="447">
        <v>1</v>
      </c>
      <c r="H36" s="448" t="str">
        <f ca="1">+MID(INDEX(WORLDCUP!$AL$6:$AL$97,MATCH(L36,WORLDCUP!$AI$6:$AI$97,0)),1,3)</f>
        <v>Ale</v>
      </c>
      <c r="I36" s="449">
        <f ca="1">+INDEX(WORLDCUP!$AM$6:$AM$97,MATCH(L36,WORLDCUP!$AI$6:$AI$97,0))</f>
        <v>0</v>
      </c>
      <c r="J36" s="450">
        <f ca="1">+INDEX(WORLDCUP!$AT$6:$AT$97,MATCH(L36,WORLDCUP!$AI$6:$AI$97,0))</f>
        <v>0</v>
      </c>
      <c r="K36" s="451" t="str">
        <f ca="1">+INDEX(WORLDCUP!$AR$6:$AR$97,MATCH(L36,WORLDCUP!$AI$6:$AI$97,0))&amp;"-"&amp;INDEX(WORLDCUP!$AS$6:$AS$97,MATCH(L36,WORLDCUP!$AI$6:$AI$97,0))</f>
        <v>0-0</v>
      </c>
      <c r="L36" s="181" t="s">
        <v>673</v>
      </c>
      <c r="M36" s="181">
        <v>24</v>
      </c>
      <c r="N36" s="561"/>
      <c r="O36" s="444" t="str">
        <f ca="1">+MID(INDEX(WORLDCUP!$AA$4:$AA$147,MATCH(M36,WORLDCUP!$AH$4:$AH$147,0)),1,3)</f>
        <v>Uzb</v>
      </c>
      <c r="P36" s="445" t="str">
        <f>IF(ISBLANK(INDEX(WORLDCUP!$AC$4:$AC$147,MATCH(M36,WORLDCUP!$AH$4:$AH$147,0))),"",INDEX(WORLDCUP!$AC$4:$AC$147,MATCH(M36,WORLDCUP!$AH$4:$AH$147,0)))</f>
        <v/>
      </c>
      <c r="Q36" s="445" t="str">
        <f>IF(ISBLANK(INDEX(WORLDCUP!$AD$4:$AD$147,MATCH(M36,WORLDCUP!$AH$4:$AH$147,0))),"",INDEX(WORLDCUP!$AD$4:$AD$147,MATCH(M36,WORLDCUP!$AH$4:$AH$147,0)))</f>
        <v/>
      </c>
      <c r="R36" s="446" t="str">
        <f ca="1">+MID(INDEX(WORLDCUP!$AF$4:$AF$147,MATCH(M36,WORLDCUP!$AH$4:$AH$147,0)),1,3)</f>
        <v>Col</v>
      </c>
      <c r="S36" s="447">
        <v>1</v>
      </c>
      <c r="T36" s="448" t="str">
        <f ca="1">+MID(INDEX(WORLDCUP!$AL$6:$AL$97,MATCH(X36,WORLDCUP!$AI$6:$AI$97,0)),1,3)</f>
        <v>Por</v>
      </c>
      <c r="U36" s="449">
        <f ca="1">+INDEX(WORLDCUP!$AM$6:$AM$97,MATCH(X36,WORLDCUP!$AI$6:$AI$97,0))</f>
        <v>0</v>
      </c>
      <c r="V36" s="450">
        <f ca="1">+INDEX(WORLDCUP!$AT$6:$AT$97,MATCH(X36,WORLDCUP!$AI$6:$AI$97,0))</f>
        <v>0</v>
      </c>
      <c r="W36" s="451" t="str">
        <f ca="1">+INDEX(WORLDCUP!$AR$6:$AR$97,MATCH(X36,WORLDCUP!$AI$6:$AI$97,0))&amp;"-"&amp;INDEX(WORLDCUP!$AS$6:$AS$97,MATCH(X36,WORLDCUP!$AI$6:$AI$97,0))</f>
        <v>0-0</v>
      </c>
      <c r="X36" s="181" t="s">
        <v>691</v>
      </c>
      <c r="Y36" s="181">
        <v>80</v>
      </c>
      <c r="Z36" s="425" t="s">
        <v>694</v>
      </c>
      <c r="AA36" s="426" t="str">
        <f ca="1">+MID(INDEX(WORLDCUP!$AA$101:$AA$147,MATCH(Y36,WORLDCUP!$Z$101:$Z$147,0)),1,3)</f>
        <v>1L</v>
      </c>
      <c r="AB36" s="472" t="str">
        <f>+IF(ISBLANK(INDEX(WORLDCUP!$AC$101:$AC$147,MATCH(Y36,WORLDCUP!$Z$101:$Z$147,0))),"",INDEX(WORLDCUP!$AC$101:$AC$147,MATCH(Y36,WORLDCUP!$Z$101:$Z$147,0)))</f>
        <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1</v>
      </c>
      <c r="BI36" s="463">
        <f ca="1">COUNTIF(Pool!$C$130:$C$161,Fixture!BG36)-BJ36-BK36-BL36-BM36-BN36-BO36</f>
        <v>0</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Ale</v>
      </c>
      <c r="D37" s="445" t="str">
        <f>IF(ISBLANK(INDEX(WORLDCUP!$AC$4:$AC$147,MATCH(A37,WORLDCUP!$AH$4:$AH$147,0))),"",INDEX(WORLDCUP!$AC$4:$AC$147,MATCH(A37,WORLDCUP!$AH$4:$AH$147,0)))</f>
        <v/>
      </c>
      <c r="E37" s="445" t="str">
        <f>IF(ISBLANK(INDEX(WORLDCUP!$AD$4:$AD$147,MATCH(A37,WORLDCUP!$AH$4:$AH$147,0))),"",INDEX(WORLDCUP!$AD$4:$AD$147,MATCH(A37,WORLDCUP!$AH$4:$AH$147,0)))</f>
        <v/>
      </c>
      <c r="F37" s="446" t="str">
        <f ca="1">+MID(INDEX(WORLDCUP!$AF$4:$AF$147,MATCH(A37,WORLDCUP!$AH$4:$AH$147,0)),1,3)</f>
        <v>Cos</v>
      </c>
      <c r="G37" s="467">
        <v>2</v>
      </c>
      <c r="H37" s="468" t="str">
        <f ca="1">+MID(INDEX(WORLDCUP!$AL$6:$AL$97,MATCH(L37,WORLDCUP!$AI$6:$AI$97,0)),1,3)</f>
        <v>Cur</v>
      </c>
      <c r="I37" s="38">
        <f ca="1">+INDEX(WORLDCUP!$AM$6:$AM$97,MATCH(L37,WORLDCUP!$AI$6:$AI$97,0))</f>
        <v>0</v>
      </c>
      <c r="J37" s="39">
        <f ca="1">+INDEX(WORLDCUP!$AT$6:$AT$97,MATCH(L37,WORLDCUP!$AI$6:$AI$97,0))</f>
        <v>0</v>
      </c>
      <c r="K37" s="43" t="str">
        <f ca="1">+INDEX(WORLDCUP!$AR$6:$AR$97,MATCH(L37,WORLDCUP!$AI$6:$AI$97,0))&amp;"-"&amp;INDEX(WORLDCUP!$AS$6:$AS$97,MATCH(L37,WORLDCUP!$AI$6:$AI$97,0))</f>
        <v>0-0</v>
      </c>
      <c r="L37" s="181" t="s">
        <v>674</v>
      </c>
      <c r="M37" s="181">
        <v>47</v>
      </c>
      <c r="N37" s="561"/>
      <c r="O37" s="444" t="str">
        <f ca="1">+MID(INDEX(WORLDCUP!$AA$4:$AA$147,MATCH(M37,WORLDCUP!$AH$4:$AH$147,0)),1,3)</f>
        <v>Por</v>
      </c>
      <c r="P37" s="445" t="str">
        <f>IF(ISBLANK(INDEX(WORLDCUP!$AC$4:$AC$147,MATCH(M37,WORLDCUP!$AH$4:$AH$147,0))),"",INDEX(WORLDCUP!$AC$4:$AC$147,MATCH(M37,WORLDCUP!$AH$4:$AH$147,0)))</f>
        <v/>
      </c>
      <c r="Q37" s="445" t="str">
        <f>IF(ISBLANK(INDEX(WORLDCUP!$AD$4:$AD$147,MATCH(M37,WORLDCUP!$AH$4:$AH$147,0))),"",INDEX(WORLDCUP!$AD$4:$AD$147,MATCH(M37,WORLDCUP!$AH$4:$AH$147,0)))</f>
        <v/>
      </c>
      <c r="R37" s="446" t="str">
        <f ca="1">+MID(INDEX(WORLDCUP!$AF$4:$AF$147,MATCH(M37,WORLDCUP!$AH$4:$AH$147,0)),1,3)</f>
        <v>Uzb</v>
      </c>
      <c r="S37" s="467">
        <v>2</v>
      </c>
      <c r="T37" s="468" t="str">
        <f ca="1">+MID(INDEX(WORLDCUP!$AL$6:$AL$97,MATCH(X37,WORLDCUP!$AI$6:$AI$97,0)),1,3)</f>
        <v xml:space="preserve">RD </v>
      </c>
      <c r="U37" s="38">
        <f ca="1">+INDEX(WORLDCUP!$AM$6:$AM$97,MATCH(X37,WORLDCUP!$AI$6:$AI$97,0))</f>
        <v>0</v>
      </c>
      <c r="V37" s="39">
        <f ca="1">+INDEX(WORLDCUP!$AT$6:$AT$97,MATCH(X37,WORLDCUP!$AI$6:$AI$97,0))</f>
        <v>0</v>
      </c>
      <c r="W37" s="43" t="str">
        <f ca="1">+INDEX(WORLDCUP!$AR$6:$AR$97,MATCH(X37,WORLDCUP!$AI$6:$AI$97,0))&amp;"-"&amp;INDEX(WORLDCUP!$AS$6:$AS$97,MATCH(X37,WORLDCUP!$AI$6:$AI$97,0))</f>
        <v>0-0</v>
      </c>
      <c r="X37" s="181" t="s">
        <v>692</v>
      </c>
      <c r="Y37" s="181">
        <v>80</v>
      </c>
      <c r="Z37" s="425" t="s">
        <v>737</v>
      </c>
      <c r="AA37" s="480" t="str">
        <f ca="1">+MID(INDEX(WORLDCUP!$AF$101:$AF$147,MATCH(Y37,WORLDCUP!$Z$101:$Z$147,0)),1,IF(WORLDCUP!$H$113&lt;144,6,3))</f>
        <v>3EHIJK</v>
      </c>
      <c r="AB37" s="481" t="str">
        <f>+IF(ISBLANK(INDEX(WORLDCUP!$AD$101:$AD$147,MATCH(Y37,WORLDCUP!$Z$101:$Z$147,0))),"",INDEX(WORLDCUP!$AD$101:$AD$147,MATCH(Y37,WORLDCUP!$Z$101:$Z$147,0)))</f>
        <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+MID(INDEX(WORLDCUP!$AA$101:$AA$147,MATCH(AL37,WORLDCUP!$Z$101:$Z$147,0)),1,3)</f>
        <v>W99</v>
      </c>
      <c r="AN37" s="509" t="str">
        <f>+IF(ISBLANK(INDEX(WORLDCUP!$AC$101:$AC$147,MATCH(AL37,WORLDCUP!$Z$101:$Z$147,0))),"",INDEX(WORLDCUP!$AC$101:$AC$147,MATCH(AL37,WORLDCUP!$Z$101:$Z$147,0)))</f>
        <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t="str">
        <f>IF(ISBLANK(INDEX(WORLDCUP!$AC$4:$AC$147,MATCH(A38,WORLDCUP!$AH$4:$AH$147,0))),"",INDEX(WORLDCUP!$AC$4:$AC$147,MATCH(A38,WORLDCUP!$AH$4:$AH$147,0)))</f>
        <v/>
      </c>
      <c r="E38" s="445" t="str">
        <f>IF(ISBLANK(INDEX(WORLDCUP!$AD$4:$AD$147,MATCH(A38,WORLDCUP!$AH$4:$AH$147,0))),"",INDEX(WORLDCUP!$AD$4:$AD$147,MATCH(A38,WORLDCUP!$AH$4:$AH$147,0)))</f>
        <v/>
      </c>
      <c r="F38" s="446" t="str">
        <f ca="1">+MID(INDEX(WORLDCUP!$AF$4:$AF$147,MATCH(A38,WORLDCUP!$AH$4:$AH$147,0)),1,3)</f>
        <v>Cur</v>
      </c>
      <c r="G38" s="467">
        <v>3</v>
      </c>
      <c r="H38" s="468" t="str">
        <f ca="1">+MID(INDEX(WORLDCUP!$AL$6:$AL$97,MATCH(L38,WORLDCUP!$AI$6:$AI$97,0)),1,3)</f>
        <v>Cos</v>
      </c>
      <c r="I38" s="38">
        <f ca="1">+INDEX(WORLDCUP!$AM$6:$AM$97,MATCH(L38,WORLDCUP!$AI$6:$AI$97,0))</f>
        <v>0</v>
      </c>
      <c r="J38" s="39">
        <f ca="1">+INDEX(WORLDCUP!$AT$6:$AT$97,MATCH(L38,WORLDCUP!$AI$6:$AI$97,0))</f>
        <v>0</v>
      </c>
      <c r="K38" s="43" t="str">
        <f ca="1">+INDEX(WORLDCUP!$AR$6:$AR$97,MATCH(L38,WORLDCUP!$AI$6:$AI$97,0))&amp;"-"&amp;INDEX(WORLDCUP!$AS$6:$AS$97,MATCH(L38,WORLDCUP!$AI$6:$AI$97,0))</f>
        <v>0-0</v>
      </c>
      <c r="L38" s="181" t="s">
        <v>94</v>
      </c>
      <c r="M38" s="181">
        <v>48</v>
      </c>
      <c r="N38" s="561"/>
      <c r="O38" s="444" t="str">
        <f ca="1">+MID(INDEX(WORLDCUP!$AA$4:$AA$147,MATCH(M38,WORLDCUP!$AH$4:$AH$147,0)),1,3)</f>
        <v>Col</v>
      </c>
      <c r="P38" s="445" t="str">
        <f>IF(ISBLANK(INDEX(WORLDCUP!$AC$4:$AC$147,MATCH(M38,WORLDCUP!$AH$4:$AH$147,0))),"",INDEX(WORLDCUP!$AC$4:$AC$147,MATCH(M38,WORLDCUP!$AH$4:$AH$147,0)))</f>
        <v/>
      </c>
      <c r="Q38" s="445" t="str">
        <f>IF(ISBLANK(INDEX(WORLDCUP!$AD$4:$AD$147,MATCH(M38,WORLDCUP!$AH$4:$AH$147,0))),"",INDEX(WORLDCUP!$AD$4:$AD$147,MATCH(M38,WORLDCUP!$AH$4:$AH$147,0)))</f>
        <v/>
      </c>
      <c r="R38" s="446" t="str">
        <f ca="1">+MID(INDEX(WORLDCUP!$AF$4:$AF$147,MATCH(M38,WORLDCUP!$AH$4:$AH$147,0)),1,3)</f>
        <v xml:space="preserve">RD </v>
      </c>
      <c r="S38" s="467">
        <v>3</v>
      </c>
      <c r="T38" s="468" t="str">
        <f ca="1">+MID(INDEX(WORLDCUP!$AL$6:$AL$97,MATCH(X38,WORLDCUP!$AI$6:$AI$97,0)),1,3)</f>
        <v>Uzb</v>
      </c>
      <c r="U38" s="38">
        <f ca="1">+INDEX(WORLDCUP!$AM$6:$AM$97,MATCH(X38,WORLDCUP!$AI$6:$AI$97,0))</f>
        <v>0</v>
      </c>
      <c r="V38" s="39">
        <f ca="1">+INDEX(WORLDCUP!$AT$6:$AT$97,MATCH(X38,WORLDCUP!$AI$6:$AI$97,0))</f>
        <v>0</v>
      </c>
      <c r="W38" s="43" t="str">
        <f ca="1">+INDEX(WORLDCUP!$AR$6:$AR$97,MATCH(X38,WORLDCUP!$AI$6:$AI$97,0))&amp;"-"&amp;INDEX(WORLDCUP!$AS$6:$AS$97,MATCH(X38,WORLDCUP!$AI$6:$AI$97,0))</f>
        <v>0-0</v>
      </c>
      <c r="X38" s="181" t="s">
        <v>452</v>
      </c>
      <c r="Y38" s="181"/>
      <c r="Z38" s="425"/>
      <c r="AA38" s="494"/>
      <c r="AB38" s="494"/>
      <c r="AC38" s="494"/>
      <c r="AD38" s="181"/>
      <c r="AE38" s="429"/>
      <c r="AF38" s="429"/>
      <c r="AG38" s="429"/>
      <c r="AH38" s="181"/>
      <c r="AI38" s="459"/>
      <c r="AJ38" s="459"/>
      <c r="AK38" s="499"/>
      <c r="AL38" s="181">
        <v>102</v>
      </c>
      <c r="AM38" s="508" t="str" cm="1">
        <f t="array" ref="AM38">+MID(INDEX(WORLDCUP!$AF$101:$AF$147,MATCH(AL38,WORLDCUP!$Z$101:$Z$147,0)),1,IF(OR(ISBLANK(AC134:AD134)),4,3))</f>
        <v>W100</v>
      </c>
      <c r="AN38" s="509" t="str">
        <f>+IF(ISBLANK(INDEX(WORLDCUP!$AD$101:$AD$147,MATCH(AL38,WORLDCUP!$Z$101:$Z$147,0))),"",INDEX(WORLDCUP!$AD$101:$AD$147,MATCH(AL38,WORLDCUP!$Z$101:$Z$147,0)))</f>
        <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1</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t="str">
        <f>IF(ISBLANK(INDEX(WORLDCUP!$AC$4:$AC$147,MATCH(A39,WORLDCUP!$AH$4:$AH$147,0))),"",INDEX(WORLDCUP!$AC$4:$AC$147,MATCH(A39,WORLDCUP!$AH$4:$AH$147,0)))</f>
        <v/>
      </c>
      <c r="E39" s="445" t="str">
        <f>IF(ISBLANK(INDEX(WORLDCUP!$AD$4:$AD$147,MATCH(A39,WORLDCUP!$AH$4:$AH$147,0))),"",INDEX(WORLDCUP!$AD$4:$AD$147,MATCH(A39,WORLDCUP!$AH$4:$AH$147,0)))</f>
        <v/>
      </c>
      <c r="F39" s="446" t="str">
        <f ca="1">+MID(INDEX(WORLDCUP!$AF$4:$AF$147,MATCH(A39,WORLDCUP!$AH$4:$AH$147,0)),1,3)</f>
        <v>Cos</v>
      </c>
      <c r="G39" s="467">
        <v>4</v>
      </c>
      <c r="H39" s="476" t="str">
        <f ca="1">+MID(INDEX(WORLDCUP!$AL$6:$AL$97,MATCH(L39,WORLDCUP!$AI$6:$AI$97,0)),1,3)</f>
        <v>Ecu</v>
      </c>
      <c r="I39" s="477">
        <f ca="1">+INDEX(WORLDCUP!$AM$6:$AM$97,MATCH(L39,WORLDCUP!$AI$6:$AI$97,0))</f>
        <v>0</v>
      </c>
      <c r="J39" s="478">
        <f ca="1">+INDEX(WORLDCUP!$AT$6:$AT$97,MATCH(L39,WORLDCUP!$AI$6:$AI$97,0))</f>
        <v>0</v>
      </c>
      <c r="K39" s="479" t="str">
        <f ca="1">+INDEX(WORLDCUP!$AR$6:$AR$97,MATCH(L39,WORLDCUP!$AI$6:$AI$97,0))&amp;"-"&amp;INDEX(WORLDCUP!$AS$6:$AS$97,MATCH(L39,WORLDCUP!$AI$6:$AI$97,0))</f>
        <v>0-0</v>
      </c>
      <c r="L39" s="181" t="s">
        <v>675</v>
      </c>
      <c r="M39" s="181">
        <v>71</v>
      </c>
      <c r="N39" s="561"/>
      <c r="O39" s="444" t="str">
        <f ca="1">+MID(INDEX(WORLDCUP!$AA$4:$AA$147,MATCH(M39,WORLDCUP!$AH$4:$AH$147,0)),1,3)</f>
        <v>Col</v>
      </c>
      <c r="P39" s="445" t="str">
        <f>IF(ISBLANK(INDEX(WORLDCUP!$AC$4:$AC$147,MATCH(M39,WORLDCUP!$AH$4:$AH$147,0))),"",INDEX(WORLDCUP!$AC$4:$AC$147,MATCH(M39,WORLDCUP!$AH$4:$AH$147,0)))</f>
        <v/>
      </c>
      <c r="Q39" s="445" t="str">
        <f>IF(ISBLANK(INDEX(WORLDCUP!$AD$4:$AD$147,MATCH(M39,WORLDCUP!$AH$4:$AH$147,0))),"",INDEX(WORLDCUP!$AD$4:$AD$147,MATCH(M39,WORLDCUP!$AH$4:$AH$147,0)))</f>
        <v/>
      </c>
      <c r="R39" s="446" t="str">
        <f ca="1">+MID(INDEX(WORLDCUP!$AF$4:$AF$147,MATCH(M39,WORLDCUP!$AH$4:$AH$147,0)),1,3)</f>
        <v>Por</v>
      </c>
      <c r="S39" s="467">
        <v>4</v>
      </c>
      <c r="T39" s="476" t="str">
        <f ca="1">+MID(INDEX(WORLDCUP!$AL$6:$AL$97,MATCH(X39,WORLDCUP!$AI$6:$AI$97,0)),1,3)</f>
        <v>Col</v>
      </c>
      <c r="U39" s="477">
        <f ca="1">+INDEX(WORLDCUP!$AM$6:$AM$97,MATCH(X39,WORLDCUP!$AI$6:$AI$97,0))</f>
        <v>0</v>
      </c>
      <c r="V39" s="478">
        <f ca="1">+INDEX(WORLDCUP!$AT$6:$AT$97,MATCH(X39,WORLDCUP!$AI$6:$AI$97,0))</f>
        <v>0</v>
      </c>
      <c r="W39" s="479" t="str">
        <f ca="1">+INDEX(WORLDCUP!$AR$6:$AR$97,MATCH(X39,WORLDCUP!$AI$6:$AI$97,0))&amp;"-"&amp;INDEX(WORLDCUP!$AS$6:$AS$97,MATCH(X39,WORLDCUP!$AI$6:$AI$97,0))</f>
        <v>0-0</v>
      </c>
      <c r="X39" s="181" t="s">
        <v>693</v>
      </c>
      <c r="Y39" s="181">
        <v>86</v>
      </c>
      <c r="Z39" s="425" t="s">
        <v>688</v>
      </c>
      <c r="AA39" s="426" t="str">
        <f ca="1">+MID(INDEX(WORLDCUP!$AA$101:$AA$147,MATCH(Y39,WORLDCUP!$Z$101:$Z$147,0)),1,3)</f>
        <v>1J</v>
      </c>
      <c r="AB39" s="427" t="str">
        <f>+IF(ISBLANK(INDEX(WORLDCUP!$AC$101:$AC$147,MATCH(Y39,WORLDCUP!$Z$101:$Z$147,0))),"",INDEX(WORLDCUP!$AC$101:$AC$147,MATCH(Y39,WORLDCUP!$Z$101:$Z$147,0)))</f>
        <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t="str">
        <f>IF(ISBLANK(INDEX(WORLDCUP!$AC$4:$AC$147,MATCH(A40,WORLDCUP!$AH$4:$AH$147,0))),"",INDEX(WORLDCUP!$AC$4:$AC$147,MATCH(A40,WORLDCUP!$AH$4:$AH$147,0)))</f>
        <v/>
      </c>
      <c r="E40" s="488" t="str">
        <f>IF(ISBLANK(INDEX(WORLDCUP!$AD$4:$AD$147,MATCH(A40,WORLDCUP!$AH$4:$AH$147,0))),"",INDEX(WORLDCUP!$AD$4:$AD$147,MATCH(A40,WORLDCUP!$AH$4:$AH$147,0)))</f>
        <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t="str">
        <f>IF(ISBLANK(INDEX(WORLDCUP!$AC$4:$AC$147,MATCH(M40,WORLDCUP!$AH$4:$AH$147,0))),"",INDEX(WORLDCUP!$AC$4:$AC$147,MATCH(M40,WORLDCUP!$AH$4:$AH$147,0)))</f>
        <v/>
      </c>
      <c r="Q40" s="488" t="str">
        <f>IF(ISBLANK(INDEX(WORLDCUP!$AD$4:$AD$147,MATCH(M40,WORLDCUP!$AH$4:$AH$147,0))),"",INDEX(WORLDCUP!$AD$4:$AD$147,MATCH(M40,WORLDCUP!$AH$4:$AH$147,0)))</f>
        <v/>
      </c>
      <c r="R40" s="489" t="str">
        <f ca="1">+MID(INDEX(WORLDCUP!$AF$4:$AF$147,MATCH(M40,WORLDCUP!$AH$4:$AH$147,0)),1,3)</f>
        <v>Uzb</v>
      </c>
      <c r="S40" s="490"/>
      <c r="T40" s="490"/>
      <c r="U40" s="491"/>
      <c r="V40" s="491"/>
      <c r="W40" s="492"/>
      <c r="X40" s="181"/>
      <c r="Y40" s="181">
        <v>86</v>
      </c>
      <c r="Z40" s="425" t="s">
        <v>683</v>
      </c>
      <c r="AA40" s="426" t="str">
        <f ca="1">+MID(INDEX(WORLDCUP!$AF$101:$AF$147,MATCH(Y40,WORLDCUP!$Z$101:$Z$147,0)),1,3)</f>
        <v>2H</v>
      </c>
      <c r="AB40" s="453" t="str">
        <f>+IF(ISBLANK(INDEX(WORLDCUP!$AD$101:$AD$147,MATCH(Y40,WORLDCUP!$Z$101:$Z$147,0))),"",INDEX(WORLDCUP!$AD$101:$AD$147,MATCH(Y40,WORLDCUP!$Z$101:$Z$147,0)))</f>
        <v/>
      </c>
      <c r="AC40" s="454" t="str">
        <f>+IF(ISBLANK(INDEX(WORLDCUP!$AE$101:$AE$147,MATCH(Y40,WORLDCUP!$Z$101:$Z$147,0))),"","( "&amp;INDEX(WORLDCUP!$AE$101:$AE$147,MATCH(Y40,WORLDCUP!$Z$101:$Z$147,0))&amp;" )")</f>
        <v/>
      </c>
      <c r="AD40" s="455">
        <v>95</v>
      </c>
      <c r="AE40" s="456" t="str">
        <f>+MID(INDEX(WORLDCUP!$AA$101:$AA$147,MATCH(AD40,WORLDCUP!$Z$101:$Z$147,0)),1,3)</f>
        <v>W86</v>
      </c>
      <c r="AF40" s="457" t="str">
        <f>+IF(ISBLANK(INDEX(WORLDCUP!$AC$101:$AC$147,MATCH(AD40,WORLDCUP!$Z$101:$Z$147,0))),"",INDEX(WORLDCUP!$AC$101:$AC$147,MATCH(AD40,WORLDCUP!$Z$101:$Z$147,0)))</f>
        <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+MID(INDEX(WORLDCUP!$AF$101:$AF$147,MATCH(AD41,WORLDCUP!$Z$101:$Z$147,0)),1,3)</f>
        <v>W88</v>
      </c>
      <c r="AF41" s="457" t="str">
        <f>+IF(ISBLANK(INDEX(WORLDCUP!$AD$101:$AD$147,MATCH(AD41,WORLDCUP!$Z$101:$Z$147,0))),"",INDEX(WORLDCUP!$AD$101:$AD$147,MATCH(AD41,WORLDCUP!$Z$101:$Z$147,0)))</f>
        <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1</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671</v>
      </c>
      <c r="AA42" s="426" t="str">
        <f ca="1">+MID(INDEX(WORLDCUP!$AA$101:$AA$147,MATCH(Y42,WORLDCUP!$Z$101:$Z$147,0)),1,3)</f>
        <v>2D</v>
      </c>
      <c r="AB42" s="472" t="str">
        <f>+IF(ISBLANK(INDEX(WORLDCUP!$AC$101:$AC$147,MATCH(Y42,WORLDCUP!$Z$101:$Z$147,0))),"",INDEX(WORLDCUP!$AC$101:$AC$147,MATCH(Y42,WORLDCUP!$Z$101:$Z$147,0)))</f>
        <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Paí</v>
      </c>
      <c r="D43" s="418" t="str">
        <f>IF(ISBLANK(INDEX(WORLDCUP!$AC$4:$AC$147,MATCH(A43,WORLDCUP!$AH$4:$AH$147,0))),"",INDEX(WORLDCUP!$AC$4:$AC$147,MATCH(A43,WORLDCUP!$AH$4:$AH$147,0)))</f>
        <v/>
      </c>
      <c r="E43" s="418" t="str">
        <f>IF(ISBLANK(INDEX(WORLDCUP!$AD$4:$AD$147,MATCH(A43,WORLDCUP!$AH$4:$AH$147,0))),"",INDEX(WORLDCUP!$AD$4:$AD$147,MATCH(A43,WORLDCUP!$AH$4:$AH$147,0)))</f>
        <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t="str">
        <f>IF(ISBLANK(INDEX(WORLDCUP!$AC$4:$AC$147,MATCH(M43,WORLDCUP!$AH$4:$AH$147,0))),"",INDEX(WORLDCUP!$AC$4:$AC$147,MATCH(M43,WORLDCUP!$AH$4:$AH$147,0)))</f>
        <v/>
      </c>
      <c r="Q43" s="418" t="str">
        <f>IF(ISBLANK(INDEX(WORLDCUP!$AD$4:$AD$147,MATCH(M43,WORLDCUP!$AH$4:$AH$147,0))),"",INDEX(WORLDCUP!$AD$4:$AD$147,MATCH(M43,WORLDCUP!$AH$4:$AH$147,0)))</f>
        <v/>
      </c>
      <c r="R43" s="419" t="str">
        <f ca="1">+MID(INDEX(WORLDCUP!$AF$4:$AF$147,MATCH(M43,WORLDCUP!$AH$4:$AH$147,0)),1,3)</f>
        <v>Cro</v>
      </c>
      <c r="S43" s="420"/>
      <c r="T43" s="421" t="str">
        <f>+T35</f>
        <v>Sel</v>
      </c>
      <c r="U43" s="422" t="str">
        <f>+U35</f>
        <v>Pts</v>
      </c>
      <c r="V43" s="422" t="str">
        <f>+V35</f>
        <v>DG</v>
      </c>
      <c r="W43" s="423" t="str">
        <f>+W35</f>
        <v>GF-GC</v>
      </c>
      <c r="X43" s="181"/>
      <c r="Y43" s="181">
        <v>88</v>
      </c>
      <c r="Z43" s="425" t="s">
        <v>680</v>
      </c>
      <c r="AA43" s="480" t="str">
        <f ca="1">+MID(INDEX(WORLDCUP!$AF$101:$AF$147,MATCH(Y43,WORLDCUP!$Z$101:$Z$147,0)),1,3)</f>
        <v>2G</v>
      </c>
      <c r="AB43" s="481" t="str">
        <f>+IF(ISBLANK(INDEX(WORLDCUP!$AD$101:$AD$147,MATCH(Y43,WORLDCUP!$Z$101:$Z$147,0))),"",INDEX(WORLDCUP!$AD$101:$AD$147,MATCH(Y43,WORLDCUP!$Z$101:$Z$147,0)))</f>
        <v/>
      </c>
      <c r="AC43" s="507" t="str">
        <f>+IF(ISBLANK(INDEX(WORLDCUP!$AE$101:$AE$147,MATCH(Y43,WORLDCUP!$Z$101:$Z$147,0))),"","( "&amp;INDEX(WORLDCUP!$AE$101:$AE$147,MATCH(Y43,WORLDCUP!$Z$101:$Z$147,0))&amp;" )")</f>
        <v/>
      </c>
      <c r="AD43" s="181"/>
      <c r="AE43" s="474"/>
      <c r="AF43" s="474"/>
      <c r="AG43" s="475"/>
      <c r="AH43" s="500">
        <v>100</v>
      </c>
      <c r="AI43" s="483" t="str">
        <f>+MID(INDEX(WORLDCUP!$AA$101:$AA$147,MATCH(AH43,WORLDCUP!$Z$101:$Z$147,0)),1,3)</f>
        <v>W95</v>
      </c>
      <c r="AJ43" s="484" t="str">
        <f>+IF(ISBLANK(INDEX(WORLDCUP!$AC$101:$AC$147,MATCH(AH43,WORLDCUP!$Z$101:$Z$147,0))),"",INDEX(WORLDCUP!$AC$101:$AC$147,MATCH(AH43,WORLDCUP!$Z$101:$Z$147,0)))</f>
        <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t="str">
        <f>IF(ISBLANK(INDEX(WORLDCUP!$AC$4:$AC$147,MATCH(A44,WORLDCUP!$AH$4:$AH$147,0))),"",INDEX(WORLDCUP!$AC$4:$AC$147,MATCH(A44,WORLDCUP!$AH$4:$AH$147,0)))</f>
        <v/>
      </c>
      <c r="E44" s="445" t="str">
        <f>IF(ISBLANK(INDEX(WORLDCUP!$AD$4:$AD$147,MATCH(A44,WORLDCUP!$AH$4:$AH$147,0))),"",INDEX(WORLDCUP!$AD$4:$AD$147,MATCH(A44,WORLDCUP!$AH$4:$AH$147,0)))</f>
        <v/>
      </c>
      <c r="F44" s="446" t="str">
        <f ca="1">+MID(INDEX(WORLDCUP!$AF$4:$AF$147,MATCH(A44,WORLDCUP!$AH$4:$AH$147,0)),1,3)</f>
        <v>Tún</v>
      </c>
      <c r="G44" s="447">
        <v>1</v>
      </c>
      <c r="H44" s="448" t="str">
        <f ca="1">+MID(INDEX(WORLDCUP!$AL$6:$AL$97,MATCH(L44,WORLDCUP!$AI$6:$AI$97,0)),1,3)</f>
        <v>Paí</v>
      </c>
      <c r="I44" s="449">
        <f ca="1">+INDEX(WORLDCUP!$AM$6:$AM$97,MATCH(L44,WORLDCUP!$AI$6:$AI$97,0))</f>
        <v>0</v>
      </c>
      <c r="J44" s="450">
        <f ca="1">+INDEX(WORLDCUP!$AT$6:$AT$97,MATCH(L44,WORLDCUP!$AI$6:$AI$97,0))</f>
        <v>0</v>
      </c>
      <c r="K44" s="451" t="str">
        <f ca="1">+INDEX(WORLDCUP!$AR$6:$AR$97,MATCH(L44,WORLDCUP!$AI$6:$AI$97,0))&amp;"-"&amp;INDEX(WORLDCUP!$AS$6:$AS$97,MATCH(L44,WORLDCUP!$AI$6:$AI$97,0))</f>
        <v>0-0</v>
      </c>
      <c r="L44" s="181" t="s">
        <v>676</v>
      </c>
      <c r="M44" s="181">
        <v>21</v>
      </c>
      <c r="N44" s="568"/>
      <c r="O44" s="444" t="str">
        <f ca="1">+MID(INDEX(WORLDCUP!$AA$4:$AA$147,MATCH(M44,WORLDCUP!$AH$4:$AH$147,0)),1,3)</f>
        <v>Gha</v>
      </c>
      <c r="P44" s="445" t="str">
        <f>IF(ISBLANK(INDEX(WORLDCUP!$AC$4:$AC$147,MATCH(M44,WORLDCUP!$AH$4:$AH$147,0))),"",INDEX(WORLDCUP!$AC$4:$AC$147,MATCH(M44,WORLDCUP!$AH$4:$AH$147,0)))</f>
        <v/>
      </c>
      <c r="Q44" s="445" t="str">
        <f>IF(ISBLANK(INDEX(WORLDCUP!$AD$4:$AD$147,MATCH(M44,WORLDCUP!$AH$4:$AH$147,0))),"",INDEX(WORLDCUP!$AD$4:$AD$147,MATCH(M44,WORLDCUP!$AH$4:$AH$147,0)))</f>
        <v/>
      </c>
      <c r="R44" s="446" t="str">
        <f ca="1">+MID(INDEX(WORLDCUP!$AF$4:$AF$147,MATCH(M44,WORLDCUP!$AH$4:$AH$147,0)),1,3)</f>
        <v>Pan</v>
      </c>
      <c r="S44" s="447">
        <v>1</v>
      </c>
      <c r="T44" s="448" t="str">
        <f ca="1">+MID(INDEX(WORLDCUP!$AL$6:$AL$97,MATCH(X44,WORLDCUP!$AI$6:$AI$97,0)),1,3)</f>
        <v>Ing</v>
      </c>
      <c r="U44" s="449">
        <f ca="1">+INDEX(WORLDCUP!$AM$6:$AM$97,MATCH(X44,WORLDCUP!$AI$6:$AI$97,0))</f>
        <v>0</v>
      </c>
      <c r="V44" s="450">
        <f ca="1">+INDEX(WORLDCUP!$AT$6:$AT$97,MATCH(X44,WORLDCUP!$AI$6:$AI$97,0))</f>
        <v>0</v>
      </c>
      <c r="W44" s="451" t="str">
        <f ca="1">+INDEX(WORLDCUP!$AR$6:$AR$97,MATCH(X44,WORLDCUP!$AI$6:$AI$97,0))&amp;"-"&amp;INDEX(WORLDCUP!$AS$6:$AS$97,MATCH(X44,WORLDCUP!$AI$6:$AI$97,0))</f>
        <v>0-0</v>
      </c>
      <c r="X44" s="181" t="s">
        <v>694</v>
      </c>
      <c r="Y44" s="181"/>
      <c r="Z44" s="425"/>
      <c r="AA44" s="494"/>
      <c r="AB44" s="494"/>
      <c r="AC44" s="494"/>
      <c r="AD44" s="181"/>
      <c r="AE44" s="429"/>
      <c r="AF44" s="429"/>
      <c r="AG44" s="475"/>
      <c r="AH44" s="181">
        <v>100</v>
      </c>
      <c r="AI44" s="483" t="str">
        <f>+MID(INDEX(WORLDCUP!$AF$101:$AF$147,MATCH(AH44,WORLDCUP!$Z$101:$Z$147,0)),1,3)</f>
        <v>W96</v>
      </c>
      <c r="AJ44" s="484" t="str">
        <f>+IF(ISBLANK(INDEX(WORLDCUP!$AD$101:$AD$147,MATCH(AH44,WORLDCUP!$Z$101:$Z$147,0))),"",INDEX(WORLDCUP!$AD$101:$AD$147,MATCH(AH44,WORLDCUP!$Z$101:$Z$147,0)))</f>
        <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Paí</v>
      </c>
      <c r="D45" s="445" t="str">
        <f>IF(ISBLANK(INDEX(WORLDCUP!$AC$4:$AC$147,MATCH(A45,WORLDCUP!$AH$4:$AH$147,0))),"",INDEX(WORLDCUP!$AC$4:$AC$147,MATCH(A45,WORLDCUP!$AH$4:$AH$147,0)))</f>
        <v/>
      </c>
      <c r="E45" s="445" t="str">
        <f>IF(ISBLANK(INDEX(WORLDCUP!$AD$4:$AD$147,MATCH(A45,WORLDCUP!$AH$4:$AH$147,0))),"",INDEX(WORLDCUP!$AD$4:$AD$147,MATCH(A45,WORLDCUP!$AH$4:$AH$147,0)))</f>
        <v/>
      </c>
      <c r="F45" s="446" t="str">
        <f ca="1">+MID(INDEX(WORLDCUP!$AF$4:$AF$147,MATCH(A45,WORLDCUP!$AH$4:$AH$147,0)),1,3)</f>
        <v>Sue</v>
      </c>
      <c r="G45" s="467">
        <v>2</v>
      </c>
      <c r="H45" s="468" t="str">
        <f ca="1">+MID(INDEX(WORLDCUP!$AL$6:$AL$97,MATCH(L45,WORLDCUP!$AI$6:$AI$97,0)),1,3)</f>
        <v>Jap</v>
      </c>
      <c r="I45" s="38">
        <f ca="1">+INDEX(WORLDCUP!$AM$6:$AM$97,MATCH(L45,WORLDCUP!$AI$6:$AI$97,0))</f>
        <v>0</v>
      </c>
      <c r="J45" s="39">
        <f ca="1">+INDEX(WORLDCUP!$AT$6:$AT$97,MATCH(L45,WORLDCUP!$AI$6:$AI$97,0))</f>
        <v>0</v>
      </c>
      <c r="K45" s="43" t="str">
        <f ca="1">+INDEX(WORLDCUP!$AR$6:$AR$97,MATCH(L45,WORLDCUP!$AI$6:$AI$97,0))&amp;"-"&amp;INDEX(WORLDCUP!$AS$6:$AS$97,MATCH(L45,WORLDCUP!$AI$6:$AI$97,0))</f>
        <v>0-0</v>
      </c>
      <c r="L45" s="181" t="s">
        <v>677</v>
      </c>
      <c r="M45" s="181">
        <v>45</v>
      </c>
      <c r="N45" s="568"/>
      <c r="O45" s="444" t="str">
        <f ca="1">+MID(INDEX(WORLDCUP!$AA$4:$AA$147,MATCH(M45,WORLDCUP!$AH$4:$AH$147,0)),1,3)</f>
        <v>Ing</v>
      </c>
      <c r="P45" s="445" t="str">
        <f>IF(ISBLANK(INDEX(WORLDCUP!$AC$4:$AC$147,MATCH(M45,WORLDCUP!$AH$4:$AH$147,0))),"",INDEX(WORLDCUP!$AC$4:$AC$147,MATCH(M45,WORLDCUP!$AH$4:$AH$147,0)))</f>
        <v/>
      </c>
      <c r="Q45" s="445" t="str">
        <f>IF(ISBLANK(INDEX(WORLDCUP!$AD$4:$AD$147,MATCH(M45,WORLDCUP!$AH$4:$AH$147,0))),"",INDEX(WORLDCUP!$AD$4:$AD$147,MATCH(M45,WORLDCUP!$AH$4:$AH$147,0)))</f>
        <v/>
      </c>
      <c r="R45" s="446" t="str">
        <f ca="1">+MID(INDEX(WORLDCUP!$AF$4:$AF$147,MATCH(M45,WORLDCUP!$AH$4:$AH$147,0)),1,3)</f>
        <v>Gha</v>
      </c>
      <c r="S45" s="467">
        <v>2</v>
      </c>
      <c r="T45" s="468" t="str">
        <f ca="1">+MID(INDEX(WORLDCUP!$AL$6:$AL$97,MATCH(X45,WORLDCUP!$AI$6:$AI$97,0)),1,3)</f>
        <v>Cro</v>
      </c>
      <c r="U45" s="38">
        <f ca="1">+INDEX(WORLDCUP!$AM$6:$AM$97,MATCH(X45,WORLDCUP!$AI$6:$AI$97,0))</f>
        <v>0</v>
      </c>
      <c r="V45" s="39">
        <f ca="1">+INDEX(WORLDCUP!$AT$6:$AT$97,MATCH(X45,WORLDCUP!$AI$6:$AI$97,0))</f>
        <v>0</v>
      </c>
      <c r="W45" s="43" t="str">
        <f ca="1">+INDEX(WORLDCUP!$AR$6:$AR$97,MATCH(X45,WORLDCUP!$AI$6:$AI$97,0))&amp;"-"&amp;INDEX(WORLDCUP!$AS$6:$AS$97,MATCH(X45,WORLDCUP!$AI$6:$AI$97,0))</f>
        <v>0-0</v>
      </c>
      <c r="X45" s="181" t="s">
        <v>695</v>
      </c>
      <c r="Y45" s="181">
        <v>85</v>
      </c>
      <c r="Z45" s="425" t="s">
        <v>660</v>
      </c>
      <c r="AA45" s="426" t="str">
        <f ca="1">+MID(INDEX(WORLDCUP!$AA$101:$AA$147,MATCH(Y45,WORLDCUP!$Z$101:$Z$147,0)),1,3)</f>
        <v>1B</v>
      </c>
      <c r="AB45" s="427" t="str">
        <f>+IF(ISBLANK(INDEX(WORLDCUP!$AC$101:$AC$147,MATCH(Y45,WORLDCUP!$Z$101:$Z$147,0))),"",INDEX(WORLDCUP!$AC$101:$AC$147,MATCH(Y45,WORLDCUP!$Z$101:$Z$147,0)))</f>
        <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Tún</v>
      </c>
      <c r="D46" s="445" t="str">
        <f>IF(ISBLANK(INDEX(WORLDCUP!$AC$4:$AC$147,MATCH(A46,WORLDCUP!$AH$4:$AH$147,0))),"",INDEX(WORLDCUP!$AC$4:$AC$147,MATCH(A46,WORLDCUP!$AH$4:$AH$147,0)))</f>
        <v/>
      </c>
      <c r="E46" s="445" t="str">
        <f>IF(ISBLANK(INDEX(WORLDCUP!$AD$4:$AD$147,MATCH(A46,WORLDCUP!$AH$4:$AH$147,0))),"",INDEX(WORLDCUP!$AD$4:$AD$147,MATCH(A46,WORLDCUP!$AH$4:$AH$147,0)))</f>
        <v/>
      </c>
      <c r="F46" s="446" t="str">
        <f ca="1">+MID(INDEX(WORLDCUP!$AF$4:$AF$147,MATCH(A46,WORLDCUP!$AH$4:$AH$147,0)),1,3)</f>
        <v>Jap</v>
      </c>
      <c r="G46" s="467">
        <v>3</v>
      </c>
      <c r="H46" s="468" t="str">
        <f ca="1">+MID(INDEX(WORLDCUP!$AL$6:$AL$97,MATCH(L46,WORLDCUP!$AI$6:$AI$97,0)),1,3)</f>
        <v>Sue</v>
      </c>
      <c r="I46" s="38">
        <f ca="1">+INDEX(WORLDCUP!$AM$6:$AM$97,MATCH(L46,WORLDCUP!$AI$6:$AI$97,0))</f>
        <v>0</v>
      </c>
      <c r="J46" s="39">
        <f ca="1">+INDEX(WORLDCUP!$AT$6:$AT$97,MATCH(L46,WORLDCUP!$AI$6:$AI$97,0))</f>
        <v>0</v>
      </c>
      <c r="K46" s="43" t="str">
        <f ca="1">+INDEX(WORLDCUP!$AR$6:$AR$97,MATCH(L46,WORLDCUP!$AI$6:$AI$97,0))&amp;"-"&amp;INDEX(WORLDCUP!$AS$6:$AS$97,MATCH(L46,WORLDCUP!$AI$6:$AI$97,0))</f>
        <v>0-0</v>
      </c>
      <c r="L46" s="181" t="s">
        <v>95</v>
      </c>
      <c r="M46" s="181">
        <v>46</v>
      </c>
      <c r="N46" s="568"/>
      <c r="O46" s="444" t="str">
        <f ca="1">+MID(INDEX(WORLDCUP!$AA$4:$AA$147,MATCH(M46,WORLDCUP!$AH$4:$AH$147,0)),1,3)</f>
        <v>Pan</v>
      </c>
      <c r="P46" s="445" t="str">
        <f>IF(ISBLANK(INDEX(WORLDCUP!$AC$4:$AC$147,MATCH(M46,WORLDCUP!$AH$4:$AH$147,0))),"",INDEX(WORLDCUP!$AC$4:$AC$147,MATCH(M46,WORLDCUP!$AH$4:$AH$147,0)))</f>
        <v/>
      </c>
      <c r="Q46" s="445" t="str">
        <f>IF(ISBLANK(INDEX(WORLDCUP!$AD$4:$AD$147,MATCH(M46,WORLDCUP!$AH$4:$AH$147,0))),"",INDEX(WORLDCUP!$AD$4:$AD$147,MATCH(M46,WORLDCUP!$AH$4:$AH$147,0)))</f>
        <v/>
      </c>
      <c r="R46" s="446" t="str">
        <f ca="1">+MID(INDEX(WORLDCUP!$AF$4:$AF$147,MATCH(M46,WORLDCUP!$AH$4:$AH$147,0)),1,3)</f>
        <v>Cro</v>
      </c>
      <c r="S46" s="467">
        <v>3</v>
      </c>
      <c r="T46" s="468" t="str">
        <f ca="1">+MID(INDEX(WORLDCUP!$AL$6:$AL$97,MATCH(X46,WORLDCUP!$AI$6:$AI$97,0)),1,3)</f>
        <v>Gha</v>
      </c>
      <c r="U46" s="38">
        <f ca="1">+INDEX(WORLDCUP!$AM$6:$AM$97,MATCH(X46,WORLDCUP!$AI$6:$AI$97,0))</f>
        <v>0</v>
      </c>
      <c r="V46" s="39">
        <f ca="1">+INDEX(WORLDCUP!$AT$6:$AT$97,MATCH(X46,WORLDCUP!$AI$6:$AI$97,0))</f>
        <v>0</v>
      </c>
      <c r="W46" s="43" t="str">
        <f ca="1">+INDEX(WORLDCUP!$AR$6:$AR$97,MATCH(X46,WORLDCUP!$AI$6:$AI$97,0))&amp;"-"&amp;INDEX(WORLDCUP!$AS$6:$AS$97,MATCH(X46,WORLDCUP!$AI$6:$AI$97,0))</f>
        <v>0-0</v>
      </c>
      <c r="X46" s="181" t="s">
        <v>453</v>
      </c>
      <c r="Y46" s="181">
        <v>85</v>
      </c>
      <c r="Z46" s="425" t="s">
        <v>740</v>
      </c>
      <c r="AA46" s="426" t="str">
        <f ca="1">+MID(INDEX(WORLDCUP!$AF$101:$AF$147,MATCH(Y46,WORLDCUP!$Z$101:$Z$147,0)),1,IF(WORLDCUP!$H$113&lt;144,6,3))</f>
        <v>3EFGIJ</v>
      </c>
      <c r="AB46" s="453" t="str">
        <f>+IF(ISBLANK(INDEX(WORLDCUP!$AD$101:$AD$147,MATCH(Y46,WORLDCUP!$Z$101:$Z$147,0))),"",INDEX(WORLDCUP!$AD$101:$AD$147,MATCH(Y46,WORLDCUP!$Z$101:$Z$147,0)))</f>
        <v/>
      </c>
      <c r="AC46" s="454" t="str">
        <f>+IF(ISBLANK(INDEX(WORLDCUP!$AE$101:$AE$147,MATCH(Y46,WORLDCUP!$Z$101:$Z$147,0))),"","( "&amp;INDEX(WORLDCUP!$AE$101:$AE$147,MATCH(Y46,WORLDCUP!$Z$101:$Z$147,0))&amp;" )")</f>
        <v/>
      </c>
      <c r="AD46" s="455">
        <v>96</v>
      </c>
      <c r="AE46" s="456" t="str">
        <f>+MID(INDEX(WORLDCUP!$AA$101:$AA$147,MATCH(AD46,WORLDCUP!$Z$101:$Z$147,0)),1,3)</f>
        <v>W85</v>
      </c>
      <c r="AF46" s="457" t="str">
        <f>+IF(ISBLANK(INDEX(WORLDCUP!$AC$101:$AC$147,MATCH(AD46,WORLDCUP!$Z$101:$Z$147,0))),"",INDEX(WORLDCUP!$AC$101:$AC$147,MATCH(AD46,WORLDCUP!$Z$101:$Z$147,0)))</f>
        <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1</v>
      </c>
      <c r="BI46" s="463">
        <f ca="1">COUNTIF(Pool!$C$130:$C$161,Fixture!BG46)-BJ46-BK46-BL46-BM46-BN46-BO46</f>
        <v>0</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t="str">
        <f>IF(ISBLANK(INDEX(WORLDCUP!$AC$4:$AC$147,MATCH(A47,WORLDCUP!$AH$4:$AH$147,0))),"",INDEX(WORLDCUP!$AC$4:$AC$147,MATCH(A47,WORLDCUP!$AH$4:$AH$147,0)))</f>
        <v/>
      </c>
      <c r="E47" s="445" t="str">
        <f>IF(ISBLANK(INDEX(WORLDCUP!$AD$4:$AD$147,MATCH(A47,WORLDCUP!$AH$4:$AH$147,0))),"",INDEX(WORLDCUP!$AD$4:$AD$147,MATCH(A47,WORLDCUP!$AH$4:$AH$147,0)))</f>
        <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0</v>
      </c>
      <c r="K47" s="479" t="str">
        <f ca="1">+INDEX(WORLDCUP!$AR$6:$AR$97,MATCH(L47,WORLDCUP!$AI$6:$AI$97,0))&amp;"-"&amp;INDEX(WORLDCUP!$AS$6:$AS$97,MATCH(L47,WORLDCUP!$AI$6:$AI$97,0))</f>
        <v>0-0</v>
      </c>
      <c r="L47" s="181" t="s">
        <v>678</v>
      </c>
      <c r="M47" s="181">
        <v>67</v>
      </c>
      <c r="N47" s="568"/>
      <c r="O47" s="444" t="str">
        <f ca="1">+MID(INDEX(WORLDCUP!$AA$4:$AA$147,MATCH(M47,WORLDCUP!$AH$4:$AH$147,0)),1,3)</f>
        <v>Pan</v>
      </c>
      <c r="P47" s="445" t="str">
        <f>IF(ISBLANK(INDEX(WORLDCUP!$AC$4:$AC$147,MATCH(M47,WORLDCUP!$AH$4:$AH$147,0))),"",INDEX(WORLDCUP!$AC$4:$AC$147,MATCH(M47,WORLDCUP!$AH$4:$AH$147,0)))</f>
        <v/>
      </c>
      <c r="Q47" s="445" t="str">
        <f>IF(ISBLANK(INDEX(WORLDCUP!$AD$4:$AD$147,MATCH(M47,WORLDCUP!$AH$4:$AH$147,0))),"",INDEX(WORLDCUP!$AD$4:$AD$147,MATCH(M47,WORLDCUP!$AH$4:$AH$147,0)))</f>
        <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0</v>
      </c>
      <c r="W47" s="479" t="str">
        <f ca="1">+INDEX(WORLDCUP!$AR$6:$AR$97,MATCH(X47,WORLDCUP!$AI$6:$AI$97,0))&amp;"-"&amp;INDEX(WORLDCUP!$AS$6:$AS$97,MATCH(X47,WORLDCUP!$AI$6:$AI$97,0))</f>
        <v>0-0</v>
      </c>
      <c r="X47" s="181" t="s">
        <v>696</v>
      </c>
      <c r="Y47" s="181"/>
      <c r="Z47" s="425"/>
      <c r="AA47" s="469"/>
      <c r="AB47" s="469"/>
      <c r="AC47" s="470"/>
      <c r="AD47" s="181">
        <v>96</v>
      </c>
      <c r="AE47" s="456" t="str">
        <f>+MID(INDEX(WORLDCUP!$AF$101:$AF$147,MATCH(AD47,WORLDCUP!$Z$101:$Z$147,0)),1,3)</f>
        <v>W87</v>
      </c>
      <c r="AF47" s="457" t="str">
        <f>+IF(ISBLANK(INDEX(WORLDCUP!$AD$101:$AD$147,MATCH(AD47,WORLDCUP!$Z$101:$Z$147,0))),"",INDEX(WORLDCUP!$AD$101:$AD$147,MATCH(AD47,WORLDCUP!$Z$101:$Z$147,0)))</f>
        <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1</v>
      </c>
      <c r="BI47" s="463">
        <f ca="1">COUNTIF(Pool!$C$130:$C$161,Fixture!BG47)-BJ47-BK47-BL47-BM47-BN47-BO47</f>
        <v>0</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Tún</v>
      </c>
      <c r="D48" s="488" t="str">
        <f>IF(ISBLANK(INDEX(WORLDCUP!$AC$4:$AC$147,MATCH(A48,WORLDCUP!$AH$4:$AH$147,0))),"",INDEX(WORLDCUP!$AC$4:$AC$147,MATCH(A48,WORLDCUP!$AH$4:$AH$147,0)))</f>
        <v/>
      </c>
      <c r="E48" s="488" t="str">
        <f>IF(ISBLANK(INDEX(WORLDCUP!$AD$4:$AD$147,MATCH(A48,WORLDCUP!$AH$4:$AH$147,0))),"",INDEX(WORLDCUP!$AD$4:$AD$147,MATCH(A48,WORLDCUP!$AH$4:$AH$147,0)))</f>
        <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t="str">
        <f>IF(ISBLANK(INDEX(WORLDCUP!$AC$4:$AC$147,MATCH(M48,WORLDCUP!$AH$4:$AH$147,0))),"",INDEX(WORLDCUP!$AC$4:$AC$147,MATCH(M48,WORLDCUP!$AH$4:$AH$147,0)))</f>
        <v/>
      </c>
      <c r="Q48" s="488" t="str">
        <f>IF(ISBLANK(INDEX(WORLDCUP!$AD$4:$AD$147,MATCH(M48,WORLDCUP!$AH$4:$AH$147,0))),"",INDEX(WORLDCUP!$AD$4:$AD$147,MATCH(M48,WORLDCUP!$AH$4:$AH$147,0)))</f>
        <v/>
      </c>
      <c r="R48" s="489" t="str">
        <f ca="1">+MID(INDEX(WORLDCUP!$AF$4:$AF$147,MATCH(M48,WORLDCUP!$AH$4:$AH$147,0)),1,3)</f>
        <v>Gha</v>
      </c>
      <c r="S48" s="490"/>
      <c r="T48" s="490"/>
      <c r="U48" s="491"/>
      <c r="V48" s="491"/>
      <c r="W48" s="492"/>
      <c r="X48" s="181"/>
      <c r="Y48" s="181">
        <v>87</v>
      </c>
      <c r="Z48" s="425" t="s">
        <v>691</v>
      </c>
      <c r="AA48" s="426" t="str">
        <f ca="1">+MID(INDEX(WORLDCUP!$AA$101:$AA$147,MATCH(Y48,WORLDCUP!$Z$101:$Z$147,0)),1,3)</f>
        <v>1K</v>
      </c>
      <c r="AB48" s="472" t="str">
        <f>+IF(ISBLANK(INDEX(WORLDCUP!$AC$101:$AC$147,MATCH(Y48,WORLDCUP!$Z$101:$Z$147,0))),"",INDEX(WORLDCUP!$AC$101:$AC$147,MATCH(Y48,WORLDCUP!$Z$101:$Z$147,0)))</f>
        <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741</v>
      </c>
      <c r="AA49" s="480" t="str">
        <f ca="1">+MID(INDEX(WORLDCUP!$AF$101:$AF$147,MATCH(Y49,WORLDCUP!$Z$101:$Z$147,0)),1,IF(WORLDCUP!$H$113&lt;144,6,3))</f>
        <v>3DEIJL</v>
      </c>
      <c r="AB49" s="481" t="str">
        <f>+IF(ISBLANK(INDEX(WORLDCUP!$AD$101:$AD$147,MATCH(Y49,WORLDCUP!$Z$101:$Z$147,0))),"",INDEX(WORLDCUP!$AD$101:$AD$147,MATCH(Y49,WORLDCUP!$Z$101:$Z$147,0)))</f>
        <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1352</v>
      </c>
      <c r="H5" s="16" t="s">
        <v>1353</v>
      </c>
      <c r="K5" s="582" t="s">
        <v>1305</v>
      </c>
      <c r="L5" s="582" t="s">
        <v>1306</v>
      </c>
    </row>
    <row r="6" spans="1:12" x14ac:dyDescent="0.2">
      <c r="B6" s="606"/>
      <c r="D6" s="16" t="str">
        <f t="shared" si="0"/>
        <v>Predictor Equipos</v>
      </c>
      <c r="E6" s="16" t="s">
        <v>23</v>
      </c>
      <c r="G6" s="582" t="s">
        <v>1303</v>
      </c>
      <c r="H6" s="582" t="s">
        <v>1304</v>
      </c>
    </row>
    <row r="7" spans="1:12" x14ac:dyDescent="0.2">
      <c r="D7" s="16" t="str">
        <f t="shared" si="0"/>
        <v>Selecciona idioma</v>
      </c>
      <c r="E7" s="16" t="s">
        <v>23</v>
      </c>
      <c r="F7" s="16" t="s">
        <v>358</v>
      </c>
      <c r="G7" s="16" t="s">
        <v>1316</v>
      </c>
      <c r="H7" s="16" t="s">
        <v>1317</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1328</v>
      </c>
      <c r="H9" s="16" t="s">
        <v>1329</v>
      </c>
    </row>
    <row r="10" spans="1:12" x14ac:dyDescent="0.2">
      <c r="D10" s="16" t="str">
        <f t="shared" si="0"/>
        <v>https://matejero.es/download/administrador-excel-mundial-2026/</v>
      </c>
      <c r="E10" s="16" t="s">
        <v>23</v>
      </c>
      <c r="F10" s="16" t="s">
        <v>444</v>
      </c>
      <c r="G10" s="16" t="s">
        <v>1318</v>
      </c>
      <c r="H10" s="16" t="s">
        <v>1319</v>
      </c>
    </row>
    <row r="11" spans="1:12" x14ac:dyDescent="0.2">
      <c r="D11" s="16" t="str">
        <f>IF($B$2,G11,H11)</f>
        <v>*Versión provisional hasta que se conozcan todos los participantes en marzo 2026</v>
      </c>
      <c r="E11" s="16" t="s">
        <v>23</v>
      </c>
      <c r="G11" s="16" t="s">
        <v>1446</v>
      </c>
      <c r="H11" s="16" t="s">
        <v>1447</v>
      </c>
    </row>
    <row r="12" spans="1:12" x14ac:dyDescent="0.2">
      <c r="D12" s="16" t="str">
        <f t="shared" si="0"/>
        <v>Donar</v>
      </c>
      <c r="E12" s="16" t="s">
        <v>23</v>
      </c>
      <c r="G12" s="16" t="s">
        <v>1323</v>
      </c>
      <c r="H12" s="16" t="s">
        <v>1322</v>
      </c>
    </row>
    <row r="14" spans="1:12" x14ac:dyDescent="0.2">
      <c r="B14" s="606"/>
    </row>
    <row r="15" spans="1:12" x14ac:dyDescent="0.2">
      <c r="D15" s="16" t="str">
        <f t="shared" ref="D15:D66" si="1">IF($B$2,G15,H15)</f>
        <v>Selecciona horario</v>
      </c>
      <c r="E15" s="16" t="s">
        <v>490</v>
      </c>
      <c r="F15" s="16" t="s">
        <v>118</v>
      </c>
      <c r="G15" s="16" t="s">
        <v>1315</v>
      </c>
      <c r="H15" s="16" t="s">
        <v>1314</v>
      </c>
    </row>
    <row r="16" spans="1:12" x14ac:dyDescent="0.2">
      <c r="D16" s="16" t="str">
        <f t="shared" si="1"/>
        <v>Rellenar los cuadros grises</v>
      </c>
      <c r="E16" s="16" t="s">
        <v>490</v>
      </c>
      <c r="F16" s="16" t="s">
        <v>181</v>
      </c>
      <c r="G16" s="16" t="s">
        <v>1208</v>
      </c>
      <c r="H16" s="16" t="s">
        <v>1209</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1320</v>
      </c>
      <c r="H33" s="16" t="s">
        <v>1321</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1240</v>
      </c>
      <c r="H36" s="16" t="s">
        <v>1241</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520</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1330</v>
      </c>
      <c r="H46" s="16" t="s">
        <v>1331</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1333</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1236</v>
      </c>
      <c r="G64" s="593" t="s">
        <v>1350</v>
      </c>
      <c r="H64" s="16" t="s">
        <v>1237</v>
      </c>
    </row>
    <row r="65" spans="3:8" x14ac:dyDescent="0.2">
      <c r="D65" s="16" t="str">
        <f t="shared" si="1"/>
        <v>Sí</v>
      </c>
      <c r="E65" s="16" t="s">
        <v>490</v>
      </c>
      <c r="G65" s="16" t="s">
        <v>1233</v>
      </c>
      <c r="H65" s="16" t="s">
        <v>1235</v>
      </c>
    </row>
    <row r="66" spans="3:8" x14ac:dyDescent="0.2">
      <c r="D66" s="16" t="str">
        <f t="shared" si="1"/>
        <v>No</v>
      </c>
      <c r="E66" s="16" t="s">
        <v>490</v>
      </c>
      <c r="G66" s="16" t="s">
        <v>1234</v>
      </c>
      <c r="H66" s="16" t="s">
        <v>1234</v>
      </c>
    </row>
    <row r="67" spans="3:8" x14ac:dyDescent="0.2">
      <c r="D67" s="16" t="str">
        <f t="shared" ref="D67:D76" si="2">IF($B$2,G67,H67)</f>
        <v>Puntos penalizados</v>
      </c>
      <c r="E67" s="16" t="s">
        <v>490</v>
      </c>
      <c r="G67" s="582" t="s">
        <v>1238</v>
      </c>
      <c r="H67" s="582" t="s">
        <v>1239</v>
      </c>
    </row>
    <row r="68" spans="3:8" x14ac:dyDescent="0.2">
      <c r="D68" s="16" t="str">
        <f t="shared" si="2"/>
        <v xml:space="preserve">Grupos mejores 3ºs: </v>
      </c>
      <c r="E68" s="16" t="s">
        <v>490</v>
      </c>
      <c r="G68" s="582" t="s">
        <v>1347</v>
      </c>
      <c r="H68" s="582" t="s">
        <v>1346</v>
      </c>
    </row>
    <row r="69" spans="3:8" x14ac:dyDescent="0.2">
      <c r="D69" s="16" t="str">
        <f t="shared" si="2"/>
        <v>La clasificación de los mejores terceros aparece al final de la J1</v>
      </c>
      <c r="E69" s="16" t="s">
        <v>490</v>
      </c>
      <c r="G69" s="16" t="s">
        <v>1373</v>
      </c>
      <c r="H69" s="16" t="s">
        <v>1374</v>
      </c>
    </row>
    <row r="70" spans="3:8" x14ac:dyDescent="0.2">
      <c r="D70" s="16" t="str">
        <f t="shared" si="2"/>
        <v>Sí</v>
      </c>
      <c r="E70" s="16" t="s">
        <v>490</v>
      </c>
      <c r="G70" s="16" t="s">
        <v>1233</v>
      </c>
      <c r="H70" s="16" t="s">
        <v>1235</v>
      </c>
    </row>
    <row r="71" spans="3:8" x14ac:dyDescent="0.2">
      <c r="D71" s="16" t="str">
        <f t="shared" si="2"/>
        <v>No</v>
      </c>
      <c r="E71" s="16" t="s">
        <v>490</v>
      </c>
      <c r="G71" s="16" t="s">
        <v>1234</v>
      </c>
      <c r="H71" s="16" t="s">
        <v>1234</v>
      </c>
    </row>
    <row r="72" spans="3:8" x14ac:dyDescent="0.2">
      <c r="D72" s="16" t="str">
        <f t="shared" si="2"/>
        <v>¿Hay equipos penalizados?</v>
      </c>
      <c r="E72" s="16" t="s">
        <v>490</v>
      </c>
      <c r="G72" s="16" t="s">
        <v>1448</v>
      </c>
      <c r="H72" s="16" t="s">
        <v>1449</v>
      </c>
    </row>
    <row r="73" spans="3:8" x14ac:dyDescent="0.2">
      <c r="C73" s="16">
        <v>1</v>
      </c>
      <c r="D73" s="16" t="str">
        <f t="shared" si="2"/>
        <v>Normal</v>
      </c>
      <c r="E73" s="16" t="s">
        <v>490</v>
      </c>
      <c r="G73" s="16" t="s">
        <v>1486</v>
      </c>
      <c r="H73" s="16" t="s">
        <v>1486</v>
      </c>
    </row>
    <row r="74" spans="3:8" x14ac:dyDescent="0.2">
      <c r="C74" s="16">
        <v>2</v>
      </c>
      <c r="D74" s="16" t="str">
        <f t="shared" si="2"/>
        <v>No cuenta el partido contra el último</v>
      </c>
      <c r="E74" s="16" t="s">
        <v>490</v>
      </c>
      <c r="G74" s="16" t="s">
        <v>1487</v>
      </c>
      <c r="H74" s="16" t="s">
        <v>1490</v>
      </c>
    </row>
    <row r="75" spans="3:8" x14ac:dyDescent="0.2">
      <c r="C75" s="16">
        <v>3</v>
      </c>
      <c r="D75" s="16" t="str">
        <f t="shared" si="2"/>
        <v>Media por partido</v>
      </c>
      <c r="E75" s="16" t="s">
        <v>490</v>
      </c>
      <c r="G75" s="16" t="s">
        <v>1488</v>
      </c>
      <c r="H75" s="16" t="s">
        <v>1491</v>
      </c>
    </row>
    <row r="76" spans="3:8" x14ac:dyDescent="0.2">
      <c r="D76" s="16" t="str">
        <f t="shared" si="2"/>
        <v>Selecciona criterio:</v>
      </c>
      <c r="E76" s="16" t="s">
        <v>490</v>
      </c>
      <c r="G76" s="16" t="s">
        <v>1492</v>
      </c>
      <c r="H76" s="16" t="s">
        <v>1493</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1376</v>
      </c>
      <c r="H83" s="16" t="s">
        <v>1375</v>
      </c>
    </row>
    <row r="84" spans="4:8" x14ac:dyDescent="0.2">
      <c r="D84" s="16" t="str">
        <f t="shared" si="3"/>
        <v>· Selecciona el idioma y la zona horaria</v>
      </c>
      <c r="E84" s="16" t="s">
        <v>220</v>
      </c>
      <c r="G84" s="16" t="s">
        <v>1421</v>
      </c>
      <c r="H84" s="16" t="s">
        <v>1433</v>
      </c>
    </row>
    <row r="85" spans="4:8" x14ac:dyDescent="0.2">
      <c r="D85" s="16" t="str">
        <f t="shared" si="3"/>
        <v>· Si vas a participar en una porra escribe tu nombre</v>
      </c>
      <c r="E85" s="16" t="s">
        <v>220</v>
      </c>
      <c r="G85" s="16" t="s">
        <v>1422</v>
      </c>
      <c r="H85" s="16" t="s">
        <v>1435</v>
      </c>
    </row>
    <row r="86" spans="4:8" x14ac:dyDescent="0.2">
      <c r="D86" s="16" t="str">
        <f t="shared" si="3"/>
        <v>· Si vas a organizar una porra, puedes descargar el archivo excel de administración desde aquí</v>
      </c>
      <c r="E86" s="16" t="s">
        <v>220</v>
      </c>
      <c r="G86" s="16" t="s">
        <v>1423</v>
      </c>
      <c r="H86" s="16" t="s">
        <v>1434</v>
      </c>
    </row>
    <row r="87" spans="4:8" x14ac:dyDescent="0.2">
      <c r="D87" s="16" t="str">
        <f t="shared" si="3"/>
        <v>· Rellena los cuadros grises con los resultados de la fase de grupos para cada grupo</v>
      </c>
      <c r="E87" s="16" t="s">
        <v>220</v>
      </c>
      <c r="G87" s="16" t="s">
        <v>1424</v>
      </c>
      <c r="H87" s="16" t="s">
        <v>1436</v>
      </c>
    </row>
    <row r="88" spans="4:8" x14ac:dyDescent="0.2">
      <c r="D88" s="16" t="str">
        <f t="shared" si="3"/>
        <v>· En caso de empate en la posición de un grupo o en los mejores terceros, puedes seleccionar el orden de los empatados</v>
      </c>
      <c r="E88" s="16" t="s">
        <v>220</v>
      </c>
      <c r="G88" s="16" t="s">
        <v>1425</v>
      </c>
      <c r="H88" s="16" t="s">
        <v>1437</v>
      </c>
    </row>
    <row r="89" spans="4:8" x14ac:dyDescent="0.2">
      <c r="D89" s="16" t="str">
        <f t="shared" si="3"/>
        <v>· Las eliminatorias se establecen de forma automática</v>
      </c>
      <c r="E89" s="16" t="s">
        <v>220</v>
      </c>
      <c r="G89" s="16" t="s">
        <v>1426</v>
      </c>
      <c r="H89" s="16" t="s">
        <v>1438</v>
      </c>
    </row>
    <row r="90" spans="4:8" x14ac:dyDescent="0.2">
      <c r="D90" s="16" t="str">
        <f t="shared" si="3"/>
        <v>· Rellena los resultados de las fases eliminatorias. En caso de empate, se abren dos celdas a los lados para poner el resultado de los penaltis</v>
      </c>
      <c r="E90" s="16" t="s">
        <v>220</v>
      </c>
      <c r="G90" s="16" t="s">
        <v>1427</v>
      </c>
      <c r="H90" s="16" t="s">
        <v>1439</v>
      </c>
    </row>
    <row r="91" spans="4:8" x14ac:dyDescent="0.2">
      <c r="D91" s="16" t="str">
        <f t="shared" si="3"/>
        <v>· Si vas a participar en una porra, rellenar los mejores jugadores y los máximos goleadores</v>
      </c>
      <c r="E91" s="16" t="s">
        <v>220</v>
      </c>
      <c r="G91" s="16" t="s">
        <v>1428</v>
      </c>
      <c r="H91" s="16" t="s">
        <v>1440</v>
      </c>
    </row>
    <row r="92" spans="4:8" x14ac:dyDescent="0.2">
      <c r="D92" s="16" t="str">
        <f t="shared" si="3"/>
        <v>· Esta hoja es independiente a los resultados introducidos en la hoja WORLDCUP y su uso es opcional</v>
      </c>
      <c r="E92" s="16" t="s">
        <v>220</v>
      </c>
      <c r="G92" s="16" t="s">
        <v>1429</v>
      </c>
      <c r="H92" s="16" t="s">
        <v>1441</v>
      </c>
    </row>
    <row r="93" spans="4:8" x14ac:dyDescent="0.2">
      <c r="D93" s="16" t="str">
        <f t="shared" si="3"/>
        <v>· Las instrucciones de uso de esta hoja se encuentran en la misma hoja</v>
      </c>
      <c r="E93" s="16" t="s">
        <v>220</v>
      </c>
      <c r="G93" s="16" t="s">
        <v>1430</v>
      </c>
      <c r="H93" s="16" t="s">
        <v>1442</v>
      </c>
    </row>
    <row r="94" spans="4:8" x14ac:dyDescent="0.2">
      <c r="D94" s="16" t="str">
        <f t="shared" si="3"/>
        <v>· En esta hoja no hay que escribir nada</v>
      </c>
      <c r="E94" s="16" t="s">
        <v>220</v>
      </c>
      <c r="G94" s="16" t="s">
        <v>1431</v>
      </c>
      <c r="H94" s="16" t="s">
        <v>1443</v>
      </c>
    </row>
    <row r="95" spans="4:8" x14ac:dyDescent="0.2">
      <c r="D95" s="16" t="str">
        <f t="shared" si="3"/>
        <v>· Sirve para que el organizador de la porra, copie estos resultados y los pegue en el archivo de administrador</v>
      </c>
      <c r="E95" s="16" t="s">
        <v>220</v>
      </c>
      <c r="G95" s="16" t="s">
        <v>1432</v>
      </c>
      <c r="H95" s="16" t="s">
        <v>1444</v>
      </c>
    </row>
    <row r="96" spans="4:8" x14ac:dyDescent="0.2">
      <c r="D96" s="16" t="str">
        <f t="shared" si="3"/>
        <v>· En esta hoja se muestran de un vistazo todos los resultados introducidos en la hoja WORLDCUP, en esta hoja no se rellena nada.</v>
      </c>
      <c r="E96" s="16" t="s">
        <v>220</v>
      </c>
      <c r="G96" s="16" t="s">
        <v>1451</v>
      </c>
      <c r="H96" s="16" t="s">
        <v>1445</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incluido el predictor, copiar de la C5 a la C258 y pegar valores en la plantilla de Administrador.</v>
      </c>
      <c r="E107" s="16" t="s">
        <v>443</v>
      </c>
      <c r="F107" s="16" t="s">
        <v>130</v>
      </c>
      <c r="G107" s="608" t="s">
        <v>1499</v>
      </c>
      <c r="H107" s="16" t="s">
        <v>1412</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x14ac:dyDescent="0.2">
      <c r="D111" s="16" t="str">
        <f t="shared" si="4"/>
        <v>·Para la segunda jornada copiar de la C30 a la C53 y pega valores en la plantilla de administrador.</v>
      </c>
      <c r="E111" s="16" t="s">
        <v>443</v>
      </c>
      <c r="F111" s="16" t="s">
        <v>255</v>
      </c>
      <c r="G111" s="16" t="s">
        <v>1360</v>
      </c>
      <c r="H111" s="16" t="s">
        <v>1362</v>
      </c>
    </row>
    <row r="112" spans="4:16" x14ac:dyDescent="0.2">
      <c r="D112" s="16" t="str">
        <f t="shared" si="4"/>
        <v>·Para la tercera jornada copiar de la C54 a la C161 y pega valores en la plantilla de administrador.</v>
      </c>
      <c r="E112" s="16" t="s">
        <v>443</v>
      </c>
      <c r="F112" s="16" t="s">
        <v>256</v>
      </c>
      <c r="G112" s="16" t="s">
        <v>1361</v>
      </c>
      <c r="H112" s="16" t="s">
        <v>1363</v>
      </c>
    </row>
    <row r="113" spans="4:9" x14ac:dyDescent="0.2">
      <c r="D113" s="16" t="str">
        <f t="shared" si="4"/>
        <v>·Si haceis todas las eliminatorias de golpe, copiar de la C164 a la C252 y pegar valores en la plantilla de Administrador.</v>
      </c>
      <c r="E113" s="16" t="s">
        <v>443</v>
      </c>
      <c r="F113" s="16" t="s">
        <v>257</v>
      </c>
      <c r="G113" s="16" t="s">
        <v>589</v>
      </c>
      <c r="H113" s="16" t="s">
        <v>1364</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1365</v>
      </c>
      <c r="H115" s="16" t="s">
        <v>584</v>
      </c>
    </row>
    <row r="116" spans="4:9" x14ac:dyDescent="0.2">
      <c r="D116" s="16" t="str">
        <f t="shared" si="4"/>
        <v>·Para los octavos de final copiar de la C200 a la C217 y pega valores en la plantilla de administrador.</v>
      </c>
      <c r="E116" s="16" t="s">
        <v>443</v>
      </c>
      <c r="F116" s="16" t="s">
        <v>260</v>
      </c>
      <c r="G116" s="16" t="s">
        <v>1366</v>
      </c>
      <c r="H116" s="16" t="s">
        <v>586</v>
      </c>
    </row>
    <row r="117" spans="4:9" x14ac:dyDescent="0.2">
      <c r="D117" s="16" t="str">
        <f t="shared" si="4"/>
        <v>·Para los cuartos de final copiar de la C220 a la C229 y pega valores en la plantilla de administrador.</v>
      </c>
      <c r="E117" s="16" t="s">
        <v>443</v>
      </c>
      <c r="G117" s="16" t="s">
        <v>1367</v>
      </c>
      <c r="H117" s="16" t="s">
        <v>585</v>
      </c>
    </row>
    <row r="118" spans="4:9" x14ac:dyDescent="0.2">
      <c r="D118" s="16" t="str">
        <f t="shared" si="4"/>
        <v>·Para las semifinales copiar de la C232 a la C241 y pega valores en la plantilla de administrador.</v>
      </c>
      <c r="E118" s="16" t="s">
        <v>443</v>
      </c>
      <c r="F118" s="16" t="s">
        <v>261</v>
      </c>
      <c r="G118" s="16" t="s">
        <v>1368</v>
      </c>
      <c r="H118" s="16" t="s">
        <v>587</v>
      </c>
    </row>
    <row r="119" spans="4:9" x14ac:dyDescent="0.2">
      <c r="D119" s="16" t="str">
        <f t="shared" si="4"/>
        <v>·Para el 3º y 4º puesto y la Final copiar de la C244 a la C252 y pega valores en la plantilla de administrador.</v>
      </c>
      <c r="E119" s="16" t="s">
        <v>443</v>
      </c>
      <c r="F119" s="16" t="s">
        <v>262</v>
      </c>
      <c r="G119" s="16" t="s">
        <v>1369</v>
      </c>
      <c r="H119" s="16" t="s">
        <v>588</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x14ac:dyDescent="0.2">
      <c r="D121" s="16" t="str">
        <f t="shared" si="4"/>
        <v>·Copiar de la C261 a la C258 y pegar valores en el administrador donde el Predictor</v>
      </c>
      <c r="E121" s="16" t="s">
        <v>443</v>
      </c>
      <c r="G121" s="582" t="s">
        <v>1419</v>
      </c>
      <c r="H121" s="582" t="s">
        <v>1420</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575</v>
      </c>
      <c r="H127" s="16" t="s">
        <v>576</v>
      </c>
    </row>
    <row r="128" spans="4:9" x14ac:dyDescent="0.2">
      <c r="D128" s="16" t="str">
        <f t="shared" si="4"/>
        <v>ENFRENTAMIENTOS DIECISEISAVOS</v>
      </c>
      <c r="E128" s="16" t="s">
        <v>443</v>
      </c>
      <c r="F128" s="16" t="s">
        <v>270</v>
      </c>
      <c r="G128" s="16" t="s">
        <v>579</v>
      </c>
      <c r="H128" s="16" t="s">
        <v>580</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581</v>
      </c>
      <c r="H135" s="16" t="s">
        <v>582</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527</v>
      </c>
      <c r="H164" s="9" t="s">
        <v>531</v>
      </c>
    </row>
    <row r="165" spans="4:8" x14ac:dyDescent="0.2">
      <c r="D165" s="16" t="str">
        <f t="shared" si="6"/>
        <v>2º GRUPO G</v>
      </c>
      <c r="E165" s="16" t="s">
        <v>443</v>
      </c>
      <c r="G165" s="16" t="s">
        <v>528</v>
      </c>
      <c r="H165" s="9" t="s">
        <v>532</v>
      </c>
    </row>
    <row r="166" spans="4:8" x14ac:dyDescent="0.2">
      <c r="D166" s="16" t="str">
        <f t="shared" si="6"/>
        <v>3º GRUPO G</v>
      </c>
      <c r="E166" s="16" t="s">
        <v>443</v>
      </c>
      <c r="G166" s="16" t="s">
        <v>529</v>
      </c>
      <c r="H166" s="9" t="s">
        <v>533</v>
      </c>
    </row>
    <row r="167" spans="4:8" x14ac:dyDescent="0.2">
      <c r="D167" s="16" t="str">
        <f t="shared" si="6"/>
        <v>4º GRUPO G</v>
      </c>
      <c r="E167" s="16" t="s">
        <v>443</v>
      </c>
      <c r="G167" s="16" t="s">
        <v>530</v>
      </c>
      <c r="H167" s="9" t="s">
        <v>534</v>
      </c>
    </row>
    <row r="168" spans="4:8" x14ac:dyDescent="0.2">
      <c r="D168" s="16" t="str">
        <f t="shared" si="6"/>
        <v>1º GRUPO H</v>
      </c>
      <c r="E168" s="16" t="s">
        <v>443</v>
      </c>
      <c r="G168" s="16" t="s">
        <v>535</v>
      </c>
      <c r="H168" s="9" t="s">
        <v>539</v>
      </c>
    </row>
    <row r="169" spans="4:8" x14ac:dyDescent="0.2">
      <c r="D169" s="16" t="str">
        <f t="shared" si="6"/>
        <v>2º GRUPO H</v>
      </c>
      <c r="E169" s="16" t="s">
        <v>443</v>
      </c>
      <c r="G169" s="16" t="s">
        <v>536</v>
      </c>
      <c r="H169" s="9" t="s">
        <v>540</v>
      </c>
    </row>
    <row r="170" spans="4:8" x14ac:dyDescent="0.2">
      <c r="D170" s="16" t="str">
        <f t="shared" si="6"/>
        <v>3º GRUPO H</v>
      </c>
      <c r="E170" s="16" t="s">
        <v>443</v>
      </c>
      <c r="G170" s="16" t="s">
        <v>537</v>
      </c>
      <c r="H170" s="9" t="s">
        <v>541</v>
      </c>
    </row>
    <row r="171" spans="4:8" x14ac:dyDescent="0.2">
      <c r="D171" s="16" t="str">
        <f t="shared" si="6"/>
        <v>4º GRUPO H</v>
      </c>
      <c r="E171" s="16" t="s">
        <v>443</v>
      </c>
      <c r="G171" s="16" t="s">
        <v>538</v>
      </c>
      <c r="H171" s="9" t="s">
        <v>542</v>
      </c>
    </row>
    <row r="172" spans="4:8" x14ac:dyDescent="0.2">
      <c r="D172" s="16" t="str">
        <f t="shared" si="6"/>
        <v>1º GRUPO I</v>
      </c>
      <c r="E172" s="16" t="s">
        <v>443</v>
      </c>
      <c r="G172" s="16" t="s">
        <v>543</v>
      </c>
      <c r="H172" s="9" t="s">
        <v>547</v>
      </c>
    </row>
    <row r="173" spans="4:8" x14ac:dyDescent="0.2">
      <c r="D173" s="16" t="str">
        <f t="shared" si="6"/>
        <v>2º GRUPO I</v>
      </c>
      <c r="E173" s="16" t="s">
        <v>443</v>
      </c>
      <c r="G173" s="16" t="s">
        <v>544</v>
      </c>
      <c r="H173" s="9" t="s">
        <v>548</v>
      </c>
    </row>
    <row r="174" spans="4:8" x14ac:dyDescent="0.2">
      <c r="D174" s="16" t="str">
        <f t="shared" si="6"/>
        <v>3º GRUPO I</v>
      </c>
      <c r="E174" s="16" t="s">
        <v>443</v>
      </c>
      <c r="G174" s="16" t="s">
        <v>545</v>
      </c>
      <c r="H174" s="9" t="s">
        <v>549</v>
      </c>
    </row>
    <row r="175" spans="4:8" x14ac:dyDescent="0.2">
      <c r="D175" s="16" t="str">
        <f t="shared" si="6"/>
        <v>4º GRUPO I</v>
      </c>
      <c r="E175" s="16" t="s">
        <v>443</v>
      </c>
      <c r="G175" s="16" t="s">
        <v>546</v>
      </c>
      <c r="H175" s="9" t="s">
        <v>550</v>
      </c>
    </row>
    <row r="176" spans="4:8" x14ac:dyDescent="0.2">
      <c r="D176" s="16" t="str">
        <f t="shared" si="6"/>
        <v>1º GRUPO J</v>
      </c>
      <c r="E176" s="16" t="s">
        <v>443</v>
      </c>
      <c r="G176" s="16" t="s">
        <v>551</v>
      </c>
      <c r="H176" s="9" t="s">
        <v>555</v>
      </c>
    </row>
    <row r="177" spans="4:8" x14ac:dyDescent="0.2">
      <c r="D177" s="16" t="str">
        <f t="shared" si="6"/>
        <v>2º GRUPO J</v>
      </c>
      <c r="E177" s="16" t="s">
        <v>443</v>
      </c>
      <c r="G177" s="16" t="s">
        <v>552</v>
      </c>
      <c r="H177" s="9" t="s">
        <v>556</v>
      </c>
    </row>
    <row r="178" spans="4:8" x14ac:dyDescent="0.2">
      <c r="D178" s="16" t="str">
        <f t="shared" si="6"/>
        <v>3º GRUPO J</v>
      </c>
      <c r="E178" s="16" t="s">
        <v>443</v>
      </c>
      <c r="G178" s="16" t="s">
        <v>553</v>
      </c>
      <c r="H178" s="9" t="s">
        <v>557</v>
      </c>
    </row>
    <row r="179" spans="4:8" x14ac:dyDescent="0.2">
      <c r="D179" s="16" t="str">
        <f t="shared" si="6"/>
        <v>4º GRUPO J</v>
      </c>
      <c r="E179" s="16" t="s">
        <v>443</v>
      </c>
      <c r="G179" s="16" t="s">
        <v>554</v>
      </c>
      <c r="H179" s="9" t="s">
        <v>558</v>
      </c>
    </row>
    <row r="180" spans="4:8" x14ac:dyDescent="0.2">
      <c r="D180" s="16" t="str">
        <f t="shared" si="6"/>
        <v>1º GRUPO K</v>
      </c>
      <c r="E180" s="16" t="s">
        <v>443</v>
      </c>
      <c r="G180" s="16" t="s">
        <v>559</v>
      </c>
      <c r="H180" s="9" t="s">
        <v>563</v>
      </c>
    </row>
    <row r="181" spans="4:8" x14ac:dyDescent="0.2">
      <c r="D181" s="16" t="str">
        <f t="shared" si="6"/>
        <v>2º GRUPO K</v>
      </c>
      <c r="E181" s="16" t="s">
        <v>443</v>
      </c>
      <c r="G181" s="16" t="s">
        <v>560</v>
      </c>
      <c r="H181" s="9" t="s">
        <v>564</v>
      </c>
    </row>
    <row r="182" spans="4:8" x14ac:dyDescent="0.2">
      <c r="D182" s="16" t="str">
        <f t="shared" si="6"/>
        <v>3º GRUPO K</v>
      </c>
      <c r="E182" s="16" t="s">
        <v>443</v>
      </c>
      <c r="G182" s="16" t="s">
        <v>561</v>
      </c>
      <c r="H182" s="9" t="s">
        <v>565</v>
      </c>
    </row>
    <row r="183" spans="4:8" x14ac:dyDescent="0.2">
      <c r="D183" s="16" t="str">
        <f t="shared" si="6"/>
        <v>4º GRUPO K</v>
      </c>
      <c r="E183" s="16" t="s">
        <v>443</v>
      </c>
      <c r="G183" s="16" t="s">
        <v>562</v>
      </c>
      <c r="H183" s="9" t="s">
        <v>566</v>
      </c>
    </row>
    <row r="184" spans="4:8" x14ac:dyDescent="0.2">
      <c r="D184" s="16" t="str">
        <f t="shared" si="6"/>
        <v>1º GRUPO L</v>
      </c>
      <c r="E184" s="16" t="s">
        <v>443</v>
      </c>
      <c r="G184" s="16" t="s">
        <v>567</v>
      </c>
      <c r="H184" s="9" t="s">
        <v>571</v>
      </c>
    </row>
    <row r="185" spans="4:8" x14ac:dyDescent="0.2">
      <c r="D185" s="16" t="str">
        <f t="shared" si="6"/>
        <v>2º GRUPO L</v>
      </c>
      <c r="E185" s="16" t="s">
        <v>443</v>
      </c>
      <c r="G185" s="16" t="s">
        <v>568</v>
      </c>
      <c r="H185" s="9" t="s">
        <v>572</v>
      </c>
    </row>
    <row r="186" spans="4:8" x14ac:dyDescent="0.2">
      <c r="D186" s="16" t="str">
        <f t="shared" si="6"/>
        <v>3º GRUPO L</v>
      </c>
      <c r="E186" s="16" t="s">
        <v>443</v>
      </c>
      <c r="G186" s="16" t="s">
        <v>569</v>
      </c>
      <c r="H186" s="9" t="s">
        <v>573</v>
      </c>
    </row>
    <row r="187" spans="4:8" x14ac:dyDescent="0.2">
      <c r="D187" s="16" t="str">
        <f t="shared" si="6"/>
        <v>4º GRUPO L</v>
      </c>
      <c r="E187" s="16" t="s">
        <v>443</v>
      </c>
      <c r="G187" s="16" t="s">
        <v>570</v>
      </c>
      <c r="H187" s="9" t="s">
        <v>574</v>
      </c>
    </row>
    <row r="188" spans="4:8" x14ac:dyDescent="0.2">
      <c r="D188" s="16" t="str">
        <f t="shared" si="4"/>
        <v>Dieciseisavofinalista</v>
      </c>
      <c r="E188" s="16" t="s">
        <v>443</v>
      </c>
      <c r="F188" s="16" t="s">
        <v>439</v>
      </c>
      <c r="G188" s="16" t="s">
        <v>577</v>
      </c>
      <c r="H188" s="9" t="s">
        <v>578</v>
      </c>
    </row>
    <row r="189" spans="4:8" x14ac:dyDescent="0.2">
      <c r="D189" s="16" t="str">
        <f t="shared" si="4"/>
        <v>Octavofinalista</v>
      </c>
      <c r="E189" s="16" t="s">
        <v>443</v>
      </c>
      <c r="G189" s="16" t="s">
        <v>1302</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1457</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1458</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1248</v>
      </c>
      <c r="G255" s="16" t="s">
        <v>19</v>
      </c>
      <c r="H255" s="582" t="s">
        <v>229</v>
      </c>
    </row>
    <row r="256" spans="2:8" x14ac:dyDescent="0.2">
      <c r="D256" s="16" t="str">
        <f t="shared" si="9"/>
        <v>Subcampeón</v>
      </c>
      <c r="E256" s="16" t="s">
        <v>1248</v>
      </c>
      <c r="G256" s="16" t="s">
        <v>20</v>
      </c>
      <c r="H256" s="16" t="s">
        <v>230</v>
      </c>
    </row>
    <row r="257" spans="4:8" x14ac:dyDescent="0.2">
      <c r="D257" s="16" t="str">
        <f t="shared" si="9"/>
        <v>3º puesto</v>
      </c>
      <c r="E257" s="16" t="s">
        <v>1248</v>
      </c>
      <c r="G257" s="16" t="s">
        <v>1240</v>
      </c>
      <c r="H257" s="16" t="s">
        <v>1241</v>
      </c>
    </row>
    <row r="258" spans="4:8" x14ac:dyDescent="0.2">
      <c r="D258" s="16" t="str">
        <f t="shared" si="9"/>
        <v>Semifinales</v>
      </c>
      <c r="E258" s="16" t="s">
        <v>1248</v>
      </c>
      <c r="G258" s="16" t="s">
        <v>38</v>
      </c>
      <c r="H258" s="582" t="s">
        <v>227</v>
      </c>
    </row>
    <row r="259" spans="4:8" x14ac:dyDescent="0.2">
      <c r="D259" s="16" t="str">
        <f t="shared" si="9"/>
        <v>Cuartos de final</v>
      </c>
      <c r="E259" s="16" t="s">
        <v>1248</v>
      </c>
      <c r="G259" s="16" t="s">
        <v>71</v>
      </c>
      <c r="H259" s="582" t="s">
        <v>226</v>
      </c>
    </row>
    <row r="260" spans="4:8" x14ac:dyDescent="0.2">
      <c r="D260" s="16" t="str">
        <f t="shared" si="9"/>
        <v>Octavos de final</v>
      </c>
      <c r="E260" s="16" t="s">
        <v>1248</v>
      </c>
      <c r="G260" s="16" t="s">
        <v>88</v>
      </c>
      <c r="H260" s="582" t="s">
        <v>225</v>
      </c>
    </row>
    <row r="261" spans="4:8" x14ac:dyDescent="0.2">
      <c r="D261" s="16" t="str">
        <f t="shared" si="9"/>
        <v>Dieciseisavos de final</v>
      </c>
      <c r="E261" s="16" t="s">
        <v>1248</v>
      </c>
      <c r="G261" s="16" t="s">
        <v>491</v>
      </c>
      <c r="H261" s="16" t="s">
        <v>492</v>
      </c>
    </row>
    <row r="262" spans="4:8" x14ac:dyDescent="0.2">
      <c r="D262" s="16" t="str">
        <f t="shared" si="9"/>
        <v>Fase de grupos</v>
      </c>
      <c r="E262" s="16" t="s">
        <v>1248</v>
      </c>
      <c r="G262" s="16" t="s">
        <v>1249</v>
      </c>
      <c r="H262" s="582" t="s">
        <v>1250</v>
      </c>
    </row>
    <row r="263" spans="4:8" x14ac:dyDescent="0.2">
      <c r="D263" s="16" t="str">
        <f t="shared" si="9"/>
        <v>Pronóstica la ronda</v>
      </c>
      <c r="E263" s="16" t="s">
        <v>1248</v>
      </c>
      <c r="G263" s="582" t="s">
        <v>1242</v>
      </c>
      <c r="H263" s="582" t="s">
        <v>1243</v>
      </c>
    </row>
    <row r="264" spans="4:8" x14ac:dyDescent="0.2">
      <c r="D264" s="16" t="str">
        <f t="shared" si="9"/>
        <v>Predice la selección</v>
      </c>
      <c r="E264" s="16" t="s">
        <v>1248</v>
      </c>
      <c r="G264" s="582" t="s">
        <v>1251</v>
      </c>
      <c r="H264" s="582" t="s">
        <v>1252</v>
      </c>
    </row>
    <row r="265" spans="4:8" x14ac:dyDescent="0.2">
      <c r="D265" s="16" t="str">
        <f t="shared" si="9"/>
        <v>Ronda</v>
      </c>
      <c r="E265" s="16" t="s">
        <v>1248</v>
      </c>
      <c r="G265" s="582" t="s">
        <v>1244</v>
      </c>
      <c r="H265" s="582" t="s">
        <v>1245</v>
      </c>
    </row>
    <row r="266" spans="4:8" x14ac:dyDescent="0.2">
      <c r="D266" s="16" t="str">
        <f t="shared" si="9"/>
        <v>·Selecciona para cada ronda el la selección o selecciones que crees que van a llegar hasta esa ronda.</v>
      </c>
      <c r="E266" s="16" t="s">
        <v>1248</v>
      </c>
      <c r="G266" s="16" t="s">
        <v>1253</v>
      </c>
      <c r="H266" s="582" t="s">
        <v>1259</v>
      </c>
    </row>
    <row r="267" spans="4:8" x14ac:dyDescent="0.2">
      <c r="D267" s="16" t="str">
        <f t="shared" si="9"/>
        <v>·Una vez elijas una selección, dejará de aparecer en la lista</v>
      </c>
      <c r="E267" s="16" t="s">
        <v>1248</v>
      </c>
      <c r="G267" s="16" t="s">
        <v>1260</v>
      </c>
      <c r="H267" s="582" t="s">
        <v>1258</v>
      </c>
    </row>
    <row r="268" spans="4:8" x14ac:dyDescent="0.2">
      <c r="D268" s="16" t="str">
        <f t="shared" si="9"/>
        <v xml:space="preserve">·Si has rellenado todos y quieres hacer un cambio, </v>
      </c>
      <c r="E268" s="16" t="s">
        <v>1248</v>
      </c>
      <c r="G268" s="16" t="s">
        <v>1246</v>
      </c>
      <c r="H268" s="582" t="s">
        <v>1247</v>
      </c>
    </row>
    <row r="269" spans="4:8" x14ac:dyDescent="0.2">
      <c r="D269" s="16" t="str">
        <f t="shared" si="9"/>
        <v xml:space="preserve"> borra las selecciones que quieras cambiar y podrás volver a elegirlas</v>
      </c>
      <c r="E269" s="16" t="s">
        <v>1248</v>
      </c>
      <c r="G269" s="16" t="s">
        <v>1254</v>
      </c>
      <c r="H269" s="582" t="s">
        <v>1257</v>
      </c>
    </row>
    <row r="270" spans="4:8" x14ac:dyDescent="0.2">
      <c r="D270" s="16" t="str">
        <f t="shared" si="9"/>
        <v>Rellenar antes del comienzo del Mundial</v>
      </c>
      <c r="E270" s="16" t="s">
        <v>1248</v>
      </c>
      <c r="G270" s="16" t="s">
        <v>1255</v>
      </c>
      <c r="H270" s="582" t="s">
        <v>1256</v>
      </c>
    </row>
    <row r="271" spans="4:8" x14ac:dyDescent="0.2">
      <c r="D271" s="16" t="str">
        <f t="shared" ref="D271" si="10">IF($B$2,G271,H271)</f>
        <v>·Si en tu grupo no vais a usar el predictor, puedes dejarlo sin rellenar</v>
      </c>
      <c r="E271" s="16" t="s">
        <v>1248</v>
      </c>
      <c r="G271" s="16" t="s">
        <v>1370</v>
      </c>
      <c r="H271" s="16" t="s">
        <v>1371</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x14ac:dyDescent="0.2">
      <c r="D922" s="16" t="s">
        <v>1332</v>
      </c>
    </row>
    <row r="923" spans="4:4" x14ac:dyDescent="0.2">
      <c r="D923" s="16" t="s">
        <v>1349</v>
      </c>
    </row>
  </sheetData>
  <sheetProtection algorithmName="SHA-512" hashValue="OS8gdesmC3ZpCUs0gw3o0khyhkqCNf4wOzYbVjnztFrdPW9v9w269TSeEHUI1jH6Iin65kXmMOnEKF4rVsONqg==" saltValue="KZI9VgdtDTe+x9pRrUm6+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776</v>
      </c>
      <c r="O1" s="410" t="s">
        <v>1372</v>
      </c>
      <c r="P1" s="410" t="s">
        <v>657</v>
      </c>
      <c r="Q1" s="410" t="s">
        <v>660</v>
      </c>
      <c r="R1" s="410" t="s">
        <v>670</v>
      </c>
      <c r="S1" s="410" t="s">
        <v>673</v>
      </c>
      <c r="T1" s="410" t="s">
        <v>679</v>
      </c>
      <c r="U1" s="410" t="s">
        <v>685</v>
      </c>
      <c r="V1" s="410" t="s">
        <v>691</v>
      </c>
      <c r="W1" s="410" t="s">
        <v>694</v>
      </c>
    </row>
    <row r="2" spans="1:23" x14ac:dyDescent="0.2">
      <c r="A2" s="9" t="s">
        <v>489</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623</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16" t="s">
        <v>623</v>
      </c>
      <c r="O3" s="16">
        <v>2</v>
      </c>
      <c r="P3" s="16" t="s">
        <v>446</v>
      </c>
      <c r="Q3" s="16" t="s">
        <v>445</v>
      </c>
      <c r="R3" s="16" t="s">
        <v>450</v>
      </c>
      <c r="S3" s="16" t="s">
        <v>93</v>
      </c>
      <c r="T3" s="16" t="s">
        <v>451</v>
      </c>
      <c r="U3" s="16" t="s">
        <v>95</v>
      </c>
      <c r="V3" s="16" t="s">
        <v>453</v>
      </c>
      <c r="W3" s="16" t="s">
        <v>452</v>
      </c>
    </row>
    <row r="4" spans="1:23" x14ac:dyDescent="0.2">
      <c r="A4" s="9" t="s">
        <v>1202</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16" t="s">
        <v>1202</v>
      </c>
      <c r="O4" s="16">
        <v>3</v>
      </c>
      <c r="P4" s="16" t="s">
        <v>94</v>
      </c>
      <c r="Q4" s="16" t="s">
        <v>451</v>
      </c>
      <c r="R4" s="16" t="s">
        <v>450</v>
      </c>
      <c r="S4" s="16" t="s">
        <v>93</v>
      </c>
      <c r="T4" s="16" t="s">
        <v>446</v>
      </c>
      <c r="U4" s="16" t="s">
        <v>445</v>
      </c>
      <c r="V4" s="16" t="s">
        <v>453</v>
      </c>
      <c r="W4" s="16" t="s">
        <v>452</v>
      </c>
    </row>
    <row r="5" spans="1:23" x14ac:dyDescent="0.2">
      <c r="A5" s="9" t="s">
        <v>1201</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16" t="s">
        <v>1201</v>
      </c>
      <c r="O5" s="16">
        <v>4</v>
      </c>
      <c r="P5" s="16" t="s">
        <v>94</v>
      </c>
      <c r="Q5" s="16" t="s">
        <v>451</v>
      </c>
      <c r="R5" s="16" t="s">
        <v>450</v>
      </c>
      <c r="S5" s="16" t="s">
        <v>93</v>
      </c>
      <c r="T5" s="16" t="s">
        <v>446</v>
      </c>
      <c r="U5" s="16" t="s">
        <v>95</v>
      </c>
      <c r="V5" s="16" t="s">
        <v>453</v>
      </c>
      <c r="W5" s="16" t="s">
        <v>452</v>
      </c>
    </row>
    <row r="6" spans="1:23" x14ac:dyDescent="0.2">
      <c r="A6" s="9" t="s">
        <v>1200</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16" t="s">
        <v>1200</v>
      </c>
      <c r="O6" s="16">
        <v>5</v>
      </c>
      <c r="P6" s="16" t="s">
        <v>94</v>
      </c>
      <c r="Q6" s="16" t="s">
        <v>445</v>
      </c>
      <c r="R6" s="16" t="s">
        <v>450</v>
      </c>
      <c r="S6" s="16" t="s">
        <v>93</v>
      </c>
      <c r="T6" s="16" t="s">
        <v>451</v>
      </c>
      <c r="U6" s="16" t="s">
        <v>95</v>
      </c>
      <c r="V6" s="16" t="s">
        <v>453</v>
      </c>
      <c r="W6" s="16" t="s">
        <v>452</v>
      </c>
    </row>
    <row r="7" spans="1:23" x14ac:dyDescent="0.2">
      <c r="A7" s="9" t="s">
        <v>1199</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16" t="s">
        <v>1199</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x14ac:dyDescent="0.2">
      <c r="A11" s="9" t="s">
        <v>622</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x14ac:dyDescent="0.2">
      <c r="A12" s="9" t="s">
        <v>1198</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x14ac:dyDescent="0.2">
      <c r="A13" s="9" t="s">
        <v>1197</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x14ac:dyDescent="0.2">
      <c r="A14" s="9" t="s">
        <v>1196</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x14ac:dyDescent="0.2">
      <c r="A15" s="9" t="s">
        <v>1195</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x14ac:dyDescent="0.2">
      <c r="A16" s="9" t="s">
        <v>621</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x14ac:dyDescent="0.2">
      <c r="A17" s="9" t="s">
        <v>620</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16" t="s">
        <v>620</v>
      </c>
      <c r="O17" s="16">
        <v>16</v>
      </c>
      <c r="P17" s="16" t="s">
        <v>94</v>
      </c>
      <c r="Q17" s="16" t="s">
        <v>445</v>
      </c>
      <c r="R17" s="16" t="s">
        <v>451</v>
      </c>
      <c r="S17" s="16" t="s">
        <v>92</v>
      </c>
      <c r="T17" s="16" t="s">
        <v>446</v>
      </c>
      <c r="U17" s="16" t="s">
        <v>95</v>
      </c>
      <c r="V17" s="16" t="s">
        <v>453</v>
      </c>
      <c r="W17" s="16" t="s">
        <v>450</v>
      </c>
    </row>
    <row r="18" spans="1:23" x14ac:dyDescent="0.2">
      <c r="A18" s="9" t="s">
        <v>619</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x14ac:dyDescent="0.2">
      <c r="A19" s="9" t="s">
        <v>1194</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x14ac:dyDescent="0.2">
      <c r="A20" s="9" t="s">
        <v>1193</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x14ac:dyDescent="0.2">
      <c r="A21" s="9" t="s">
        <v>1192</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x14ac:dyDescent="0.2">
      <c r="A22" s="9" t="s">
        <v>1191</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x14ac:dyDescent="0.2">
      <c r="A23" s="9" t="s">
        <v>1190</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x14ac:dyDescent="0.2">
      <c r="A24" s="9" t="s">
        <v>1189</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16" t="s">
        <v>1189</v>
      </c>
      <c r="O24" s="16">
        <v>23</v>
      </c>
      <c r="P24" s="16" t="s">
        <v>92</v>
      </c>
      <c r="Q24" s="16" t="s">
        <v>445</v>
      </c>
      <c r="R24" s="16" t="s">
        <v>451</v>
      </c>
      <c r="S24" s="16" t="s">
        <v>93</v>
      </c>
      <c r="T24" s="16" t="s">
        <v>446</v>
      </c>
      <c r="U24" s="16" t="s">
        <v>95</v>
      </c>
      <c r="V24" s="16" t="s">
        <v>453</v>
      </c>
      <c r="W24" s="16" t="s">
        <v>450</v>
      </c>
    </row>
    <row r="25" spans="1:23" x14ac:dyDescent="0.2">
      <c r="A25" s="9" t="s">
        <v>1188</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x14ac:dyDescent="0.2">
      <c r="A26" s="9" t="s">
        <v>1187</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x14ac:dyDescent="0.2">
      <c r="A27" s="9" t="s">
        <v>1186</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x14ac:dyDescent="0.2">
      <c r="A28" s="9" t="s">
        <v>1185</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x14ac:dyDescent="0.2">
      <c r="A29" s="9" t="s">
        <v>1184</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x14ac:dyDescent="0.2">
      <c r="A30" s="9" t="s">
        <v>1183</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16" t="s">
        <v>1183</v>
      </c>
      <c r="O30" s="16">
        <v>29</v>
      </c>
      <c r="P30" s="16" t="s">
        <v>94</v>
      </c>
      <c r="Q30" s="16" t="s">
        <v>445</v>
      </c>
      <c r="R30" s="16" t="s">
        <v>451</v>
      </c>
      <c r="S30" s="16" t="s">
        <v>92</v>
      </c>
      <c r="T30" s="16" t="s">
        <v>446</v>
      </c>
      <c r="U30" s="16" t="s">
        <v>93</v>
      </c>
      <c r="V30" s="16" t="s">
        <v>453</v>
      </c>
      <c r="W30" s="16" t="s">
        <v>450</v>
      </c>
    </row>
    <row r="31" spans="1:23" x14ac:dyDescent="0.2">
      <c r="A31" s="9" t="s">
        <v>1182</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x14ac:dyDescent="0.2">
      <c r="A32" s="9" t="s">
        <v>1181</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x14ac:dyDescent="0.2">
      <c r="A33" s="9" t="s">
        <v>1180</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x14ac:dyDescent="0.2">
      <c r="A34" s="9" t="s">
        <v>1179</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x14ac:dyDescent="0.2">
      <c r="A35" s="9" t="s">
        <v>1178</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16" t="s">
        <v>1178</v>
      </c>
      <c r="O35" s="16">
        <v>34</v>
      </c>
      <c r="P35" s="16" t="s">
        <v>92</v>
      </c>
      <c r="Q35" s="16" t="s">
        <v>451</v>
      </c>
      <c r="R35" s="16" t="s">
        <v>94</v>
      </c>
      <c r="S35" s="16" t="s">
        <v>93</v>
      </c>
      <c r="T35" s="16" t="s">
        <v>446</v>
      </c>
      <c r="U35" s="16" t="s">
        <v>95</v>
      </c>
      <c r="V35" s="16" t="s">
        <v>453</v>
      </c>
      <c r="W35" s="16" t="s">
        <v>450</v>
      </c>
    </row>
    <row r="36" spans="1:23" x14ac:dyDescent="0.2">
      <c r="A36" s="9" t="s">
        <v>1177</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x14ac:dyDescent="0.2">
      <c r="A37" s="9" t="s">
        <v>1176</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x14ac:dyDescent="0.2">
      <c r="A38" s="9" t="s">
        <v>1175</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x14ac:dyDescent="0.2">
      <c r="A39" s="9" t="s">
        <v>1174</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16" t="s">
        <v>1174</v>
      </c>
      <c r="O39" s="16">
        <v>38</v>
      </c>
      <c r="P39" s="16" t="s">
        <v>92</v>
      </c>
      <c r="Q39" s="16" t="s">
        <v>445</v>
      </c>
      <c r="R39" s="16" t="s">
        <v>94</v>
      </c>
      <c r="S39" s="16" t="s">
        <v>93</v>
      </c>
      <c r="T39" s="16" t="s">
        <v>451</v>
      </c>
      <c r="U39" s="16" t="s">
        <v>95</v>
      </c>
      <c r="V39" s="16" t="s">
        <v>453</v>
      </c>
      <c r="W39" s="16" t="s">
        <v>450</v>
      </c>
    </row>
    <row r="40" spans="1:23" x14ac:dyDescent="0.2">
      <c r="A40" s="9" t="s">
        <v>1173</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16" t="s">
        <v>479</v>
      </c>
      <c r="O46" s="16">
        <v>45</v>
      </c>
      <c r="P46" s="16" t="s">
        <v>92</v>
      </c>
      <c r="Q46" s="16" t="s">
        <v>445</v>
      </c>
      <c r="R46" s="16" t="s">
        <v>451</v>
      </c>
      <c r="S46" s="16" t="s">
        <v>93</v>
      </c>
      <c r="T46" s="16" t="s">
        <v>446</v>
      </c>
      <c r="U46" s="16" t="s">
        <v>95</v>
      </c>
      <c r="V46" s="16" t="s">
        <v>94</v>
      </c>
      <c r="W46" s="16" t="s">
        <v>450</v>
      </c>
    </row>
    <row r="47" spans="1:23" x14ac:dyDescent="0.2">
      <c r="A47" s="9" t="s">
        <v>618</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x14ac:dyDescent="0.2">
      <c r="A48" s="9" t="s">
        <v>1172</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x14ac:dyDescent="0.2">
      <c r="A49" s="9" t="s">
        <v>1171</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x14ac:dyDescent="0.2">
      <c r="A50" s="9" t="s">
        <v>1170</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x14ac:dyDescent="0.2">
      <c r="A51" s="9" t="s">
        <v>1169</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x14ac:dyDescent="0.2">
      <c r="A52" s="9" t="s">
        <v>617</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x14ac:dyDescent="0.2">
      <c r="A53" s="9" t="s">
        <v>616</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16" t="s">
        <v>616</v>
      </c>
      <c r="O53" s="16">
        <v>52</v>
      </c>
      <c r="P53" s="16" t="s">
        <v>94</v>
      </c>
      <c r="Q53" s="16" t="s">
        <v>451</v>
      </c>
      <c r="R53" s="16" t="s">
        <v>91</v>
      </c>
      <c r="S53" s="16" t="s">
        <v>95</v>
      </c>
      <c r="T53" s="16" t="s">
        <v>446</v>
      </c>
      <c r="U53" s="16" t="s">
        <v>445</v>
      </c>
      <c r="V53" s="16" t="s">
        <v>453</v>
      </c>
      <c r="W53" s="16" t="s">
        <v>450</v>
      </c>
    </row>
    <row r="54" spans="1:23" x14ac:dyDescent="0.2">
      <c r="A54" s="9" t="s">
        <v>615</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x14ac:dyDescent="0.2">
      <c r="A55" s="9" t="s">
        <v>1168</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x14ac:dyDescent="0.2">
      <c r="A56" s="9" t="s">
        <v>1167</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x14ac:dyDescent="0.2">
      <c r="A57" s="9" t="s">
        <v>1166</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x14ac:dyDescent="0.2">
      <c r="A58" s="9" t="s">
        <v>1165</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x14ac:dyDescent="0.2">
      <c r="A59" s="9" t="s">
        <v>1164</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x14ac:dyDescent="0.2">
      <c r="A60" s="9" t="s">
        <v>1163</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16" t="s">
        <v>1163</v>
      </c>
      <c r="O60" s="16">
        <v>59</v>
      </c>
      <c r="P60" s="16" t="s">
        <v>446</v>
      </c>
      <c r="Q60" s="16" t="s">
        <v>445</v>
      </c>
      <c r="R60" s="16" t="s">
        <v>91</v>
      </c>
      <c r="S60" s="16" t="s">
        <v>93</v>
      </c>
      <c r="T60" s="16" t="s">
        <v>451</v>
      </c>
      <c r="U60" s="16" t="s">
        <v>95</v>
      </c>
      <c r="V60" s="16" t="s">
        <v>453</v>
      </c>
      <c r="W60" s="16" t="s">
        <v>450</v>
      </c>
    </row>
    <row r="61" spans="1:23" x14ac:dyDescent="0.2">
      <c r="A61" s="9" t="s">
        <v>1162</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x14ac:dyDescent="0.2">
      <c r="A62" s="9" t="s">
        <v>1161</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x14ac:dyDescent="0.2">
      <c r="A63" s="9" t="s">
        <v>1160</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x14ac:dyDescent="0.2">
      <c r="A64" s="9" t="s">
        <v>1159</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x14ac:dyDescent="0.2">
      <c r="A65" s="9" t="s">
        <v>1158</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x14ac:dyDescent="0.2">
      <c r="A66" s="9" t="s">
        <v>1157</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16" t="s">
        <v>1157</v>
      </c>
      <c r="O66" s="16">
        <v>65</v>
      </c>
      <c r="P66" s="16" t="s">
        <v>94</v>
      </c>
      <c r="Q66" s="16" t="s">
        <v>451</v>
      </c>
      <c r="R66" s="16" t="s">
        <v>91</v>
      </c>
      <c r="S66" s="16" t="s">
        <v>93</v>
      </c>
      <c r="T66" s="16" t="s">
        <v>446</v>
      </c>
      <c r="U66" s="16" t="s">
        <v>445</v>
      </c>
      <c r="V66" s="16" t="s">
        <v>453</v>
      </c>
      <c r="W66" s="16" t="s">
        <v>450</v>
      </c>
    </row>
    <row r="67" spans="1:23" x14ac:dyDescent="0.2">
      <c r="A67" s="9" t="s">
        <v>1156</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x14ac:dyDescent="0.2">
      <c r="A68" s="9" t="s">
        <v>1155</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x14ac:dyDescent="0.2">
      <c r="A69" s="9" t="s">
        <v>1154</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x14ac:dyDescent="0.2">
      <c r="A70" s="9" t="s">
        <v>1153</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x14ac:dyDescent="0.2">
      <c r="A71" s="9" t="s">
        <v>1152</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16" t="s">
        <v>1152</v>
      </c>
      <c r="O71" s="16">
        <v>70</v>
      </c>
      <c r="P71" s="16" t="s">
        <v>94</v>
      </c>
      <c r="Q71" s="16" t="s">
        <v>451</v>
      </c>
      <c r="R71" s="16" t="s">
        <v>91</v>
      </c>
      <c r="S71" s="16" t="s">
        <v>93</v>
      </c>
      <c r="T71" s="16" t="s">
        <v>446</v>
      </c>
      <c r="U71" s="16" t="s">
        <v>95</v>
      </c>
      <c r="V71" s="16" t="s">
        <v>453</v>
      </c>
      <c r="W71" s="16" t="s">
        <v>450</v>
      </c>
    </row>
    <row r="72" spans="1:23" x14ac:dyDescent="0.2">
      <c r="A72" s="9" t="s">
        <v>1151</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x14ac:dyDescent="0.2">
      <c r="A73" s="9" t="s">
        <v>1150</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x14ac:dyDescent="0.2">
      <c r="A74" s="9" t="s">
        <v>1149</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x14ac:dyDescent="0.2">
      <c r="A75" s="9" t="s">
        <v>1148</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16" t="s">
        <v>1148</v>
      </c>
      <c r="O75" s="16">
        <v>74</v>
      </c>
      <c r="P75" s="16" t="s">
        <v>94</v>
      </c>
      <c r="Q75" s="16" t="s">
        <v>445</v>
      </c>
      <c r="R75" s="16" t="s">
        <v>91</v>
      </c>
      <c r="S75" s="16" t="s">
        <v>93</v>
      </c>
      <c r="T75" s="16" t="s">
        <v>451</v>
      </c>
      <c r="U75" s="16" t="s">
        <v>95</v>
      </c>
      <c r="V75" s="16" t="s">
        <v>453</v>
      </c>
      <c r="W75" s="16" t="s">
        <v>450</v>
      </c>
    </row>
    <row r="76" spans="1:23" x14ac:dyDescent="0.2">
      <c r="A76" s="9" t="s">
        <v>1147</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x14ac:dyDescent="0.2">
      <c r="A77" s="9" t="s">
        <v>614</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x14ac:dyDescent="0.2">
      <c r="A78" s="9" t="s">
        <v>613</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x14ac:dyDescent="0.2">
      <c r="A79" s="9" t="s">
        <v>612</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x14ac:dyDescent="0.2">
      <c r="A80" s="9" t="s">
        <v>611</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16" t="s">
        <v>611</v>
      </c>
      <c r="O80" s="16">
        <v>79</v>
      </c>
      <c r="P80" s="16" t="s">
        <v>94</v>
      </c>
      <c r="Q80" s="16" t="s">
        <v>445</v>
      </c>
      <c r="R80" s="16" t="s">
        <v>91</v>
      </c>
      <c r="S80" s="16" t="s">
        <v>93</v>
      </c>
      <c r="T80" s="16" t="s">
        <v>446</v>
      </c>
      <c r="U80" s="16" t="s">
        <v>95</v>
      </c>
      <c r="V80" s="16" t="s">
        <v>453</v>
      </c>
      <c r="W80" s="16" t="s">
        <v>450</v>
      </c>
    </row>
    <row r="81" spans="1:23" x14ac:dyDescent="0.2">
      <c r="A81" s="9" t="s">
        <v>610</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x14ac:dyDescent="0.2">
      <c r="A82" s="9" t="s">
        <v>609</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16" t="s">
        <v>609</v>
      </c>
      <c r="O82" s="16">
        <v>81</v>
      </c>
      <c r="P82" s="16" t="s">
        <v>446</v>
      </c>
      <c r="Q82" s="16" t="s">
        <v>445</v>
      </c>
      <c r="R82" s="16" t="s">
        <v>91</v>
      </c>
      <c r="S82" s="16" t="s">
        <v>93</v>
      </c>
      <c r="T82" s="16" t="s">
        <v>451</v>
      </c>
      <c r="U82" s="16" t="s">
        <v>95</v>
      </c>
      <c r="V82" s="16" t="s">
        <v>94</v>
      </c>
      <c r="W82" s="16" t="s">
        <v>450</v>
      </c>
    </row>
    <row r="83" spans="1:23" x14ac:dyDescent="0.2">
      <c r="A83" s="9" t="s">
        <v>1146</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x14ac:dyDescent="0.2">
      <c r="A84" s="9" t="s">
        <v>1145</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x14ac:dyDescent="0.2">
      <c r="A85" s="9" t="s">
        <v>1144</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x14ac:dyDescent="0.2">
      <c r="A86" s="9" t="s">
        <v>1143</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x14ac:dyDescent="0.2">
      <c r="A87" s="9" t="s">
        <v>1142</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x14ac:dyDescent="0.2">
      <c r="A88" s="9" t="s">
        <v>1141</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16" t="s">
        <v>1141</v>
      </c>
      <c r="O88" s="16">
        <v>87</v>
      </c>
      <c r="P88" s="16" t="s">
        <v>446</v>
      </c>
      <c r="Q88" s="16" t="s">
        <v>445</v>
      </c>
      <c r="R88" s="16" t="s">
        <v>91</v>
      </c>
      <c r="S88" s="16" t="s">
        <v>92</v>
      </c>
      <c r="T88" s="16" t="s">
        <v>451</v>
      </c>
      <c r="U88" s="16" t="s">
        <v>95</v>
      </c>
      <c r="V88" s="16" t="s">
        <v>453</v>
      </c>
      <c r="W88" s="16" t="s">
        <v>450</v>
      </c>
    </row>
    <row r="89" spans="1:23" x14ac:dyDescent="0.2">
      <c r="A89" s="9" t="s">
        <v>1140</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x14ac:dyDescent="0.2">
      <c r="A90" s="9" t="s">
        <v>1139</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x14ac:dyDescent="0.2">
      <c r="A91" s="9" t="s">
        <v>1138</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x14ac:dyDescent="0.2">
      <c r="A92" s="9" t="s">
        <v>1137</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x14ac:dyDescent="0.2">
      <c r="A93" s="9" t="s">
        <v>1136</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x14ac:dyDescent="0.2">
      <c r="A94" s="9" t="s">
        <v>1135</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16" t="s">
        <v>1135</v>
      </c>
      <c r="O94" s="16">
        <v>93</v>
      </c>
      <c r="P94" s="16" t="s">
        <v>94</v>
      </c>
      <c r="Q94" s="16" t="s">
        <v>451</v>
      </c>
      <c r="R94" s="16" t="s">
        <v>91</v>
      </c>
      <c r="S94" s="16" t="s">
        <v>92</v>
      </c>
      <c r="T94" s="16" t="s">
        <v>446</v>
      </c>
      <c r="U94" s="16" t="s">
        <v>445</v>
      </c>
      <c r="V94" s="16" t="s">
        <v>453</v>
      </c>
      <c r="W94" s="16" t="s">
        <v>450</v>
      </c>
    </row>
    <row r="95" spans="1:23" x14ac:dyDescent="0.2">
      <c r="A95" s="9" t="s">
        <v>1134</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x14ac:dyDescent="0.2">
      <c r="A96" s="9" t="s">
        <v>1133</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x14ac:dyDescent="0.2">
      <c r="A97" s="9" t="s">
        <v>1132</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x14ac:dyDescent="0.2">
      <c r="A98" s="9" t="s">
        <v>1131</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x14ac:dyDescent="0.2">
      <c r="A99" s="9" t="s">
        <v>1130</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16" t="s">
        <v>1130</v>
      </c>
      <c r="O99" s="16">
        <v>98</v>
      </c>
      <c r="P99" s="16" t="s">
        <v>94</v>
      </c>
      <c r="Q99" s="16" t="s">
        <v>451</v>
      </c>
      <c r="R99" s="16" t="s">
        <v>91</v>
      </c>
      <c r="S99" s="16" t="s">
        <v>92</v>
      </c>
      <c r="T99" s="16" t="s">
        <v>446</v>
      </c>
      <c r="U99" s="16" t="s">
        <v>95</v>
      </c>
      <c r="V99" s="16" t="s">
        <v>453</v>
      </c>
      <c r="W99" s="16" t="s">
        <v>450</v>
      </c>
    </row>
    <row r="100" spans="1:23" x14ac:dyDescent="0.2">
      <c r="A100" s="9" t="s">
        <v>1129</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x14ac:dyDescent="0.2">
      <c r="A101" s="9" t="s">
        <v>1128</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x14ac:dyDescent="0.2">
      <c r="A102" s="9" t="s">
        <v>1127</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x14ac:dyDescent="0.2">
      <c r="A103" s="9" t="s">
        <v>1126</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16" t="s">
        <v>1126</v>
      </c>
      <c r="O103" s="16">
        <v>102</v>
      </c>
      <c r="P103" s="16" t="s">
        <v>94</v>
      </c>
      <c r="Q103" s="16" t="s">
        <v>445</v>
      </c>
      <c r="R103" s="16" t="s">
        <v>91</v>
      </c>
      <c r="S103" s="16" t="s">
        <v>92</v>
      </c>
      <c r="T103" s="16" t="s">
        <v>451</v>
      </c>
      <c r="U103" s="16" t="s">
        <v>95</v>
      </c>
      <c r="V103" s="16" t="s">
        <v>453</v>
      </c>
      <c r="W103" s="16" t="s">
        <v>450</v>
      </c>
    </row>
    <row r="104" spans="1:23" x14ac:dyDescent="0.2">
      <c r="A104" s="9" t="s">
        <v>1125</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x14ac:dyDescent="0.2">
      <c r="A105" s="9" t="s">
        <v>1124</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x14ac:dyDescent="0.2">
      <c r="A106" s="9" t="s">
        <v>1123</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x14ac:dyDescent="0.2">
      <c r="A107" s="9" t="s">
        <v>1122</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x14ac:dyDescent="0.2">
      <c r="A108" s="9" t="s">
        <v>1121</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16" t="s">
        <v>1121</v>
      </c>
      <c r="O108" s="16">
        <v>107</v>
      </c>
      <c r="P108" s="16" t="s">
        <v>94</v>
      </c>
      <c r="Q108" s="16" t="s">
        <v>445</v>
      </c>
      <c r="R108" s="16" t="s">
        <v>91</v>
      </c>
      <c r="S108" s="16" t="s">
        <v>92</v>
      </c>
      <c r="T108" s="16" t="s">
        <v>446</v>
      </c>
      <c r="U108" s="16" t="s">
        <v>95</v>
      </c>
      <c r="V108" s="16" t="s">
        <v>453</v>
      </c>
      <c r="W108" s="16" t="s">
        <v>450</v>
      </c>
    </row>
    <row r="109" spans="1:23" x14ac:dyDescent="0.2">
      <c r="A109" s="9" t="s">
        <v>1120</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x14ac:dyDescent="0.2">
      <c r="A110" s="9" t="s">
        <v>1119</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16" t="s">
        <v>1119</v>
      </c>
      <c r="O110" s="16">
        <v>109</v>
      </c>
      <c r="P110" s="16" t="s">
        <v>446</v>
      </c>
      <c r="Q110" s="16" t="s">
        <v>445</v>
      </c>
      <c r="R110" s="16" t="s">
        <v>91</v>
      </c>
      <c r="S110" s="16" t="s">
        <v>92</v>
      </c>
      <c r="T110" s="16" t="s">
        <v>451</v>
      </c>
      <c r="U110" s="16" t="s">
        <v>95</v>
      </c>
      <c r="V110" s="16" t="s">
        <v>94</v>
      </c>
      <c r="W110" s="16" t="s">
        <v>450</v>
      </c>
    </row>
    <row r="111" spans="1:23" x14ac:dyDescent="0.2">
      <c r="A111" s="9" t="s">
        <v>1118</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x14ac:dyDescent="0.2">
      <c r="A112" s="9" t="s">
        <v>1117</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x14ac:dyDescent="0.2">
      <c r="A113" s="9" t="s">
        <v>1116</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x14ac:dyDescent="0.2">
      <c r="A114" s="9" t="s">
        <v>1115</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x14ac:dyDescent="0.2">
      <c r="A115" s="9" t="s">
        <v>1114</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16" t="s">
        <v>1114</v>
      </c>
      <c r="O115" s="16">
        <v>114</v>
      </c>
      <c r="P115" s="16" t="s">
        <v>446</v>
      </c>
      <c r="Q115" s="16" t="s">
        <v>445</v>
      </c>
      <c r="R115" s="16" t="s">
        <v>91</v>
      </c>
      <c r="S115" s="16" t="s">
        <v>92</v>
      </c>
      <c r="T115" s="16" t="s">
        <v>451</v>
      </c>
      <c r="U115" s="16" t="s">
        <v>93</v>
      </c>
      <c r="V115" s="16" t="s">
        <v>453</v>
      </c>
      <c r="W115" s="16" t="s">
        <v>450</v>
      </c>
    </row>
    <row r="116" spans="1:23" x14ac:dyDescent="0.2">
      <c r="A116" s="9" t="s">
        <v>1113</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x14ac:dyDescent="0.2">
      <c r="A117" s="9" t="s">
        <v>1112</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x14ac:dyDescent="0.2">
      <c r="A118" s="9" t="s">
        <v>1111</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x14ac:dyDescent="0.2">
      <c r="A119" s="9" t="s">
        <v>1110</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x14ac:dyDescent="0.2">
      <c r="A120" s="9" t="s">
        <v>1109</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16" t="s">
        <v>1109</v>
      </c>
      <c r="O120" s="16">
        <v>119</v>
      </c>
      <c r="P120" s="16" t="s">
        <v>92</v>
      </c>
      <c r="Q120" s="16" t="s">
        <v>451</v>
      </c>
      <c r="R120" s="16" t="s">
        <v>91</v>
      </c>
      <c r="S120" s="16" t="s">
        <v>93</v>
      </c>
      <c r="T120" s="16" t="s">
        <v>446</v>
      </c>
      <c r="U120" s="16" t="s">
        <v>95</v>
      </c>
      <c r="V120" s="16" t="s">
        <v>453</v>
      </c>
      <c r="W120" s="16" t="s">
        <v>450</v>
      </c>
    </row>
    <row r="121" spans="1:23" x14ac:dyDescent="0.2">
      <c r="A121" s="9" t="s">
        <v>1108</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x14ac:dyDescent="0.2">
      <c r="A122" s="9" t="s">
        <v>1107</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x14ac:dyDescent="0.2">
      <c r="A123" s="9" t="s">
        <v>1106</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x14ac:dyDescent="0.2">
      <c r="A124" s="9" t="s">
        <v>1105</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16" t="s">
        <v>1105</v>
      </c>
      <c r="O124" s="16">
        <v>123</v>
      </c>
      <c r="P124" s="16" t="s">
        <v>92</v>
      </c>
      <c r="Q124" s="16" t="s">
        <v>445</v>
      </c>
      <c r="R124" s="16" t="s">
        <v>91</v>
      </c>
      <c r="S124" s="16" t="s">
        <v>93</v>
      </c>
      <c r="T124" s="16" t="s">
        <v>451</v>
      </c>
      <c r="U124" s="16" t="s">
        <v>95</v>
      </c>
      <c r="V124" s="16" t="s">
        <v>453</v>
      </c>
      <c r="W124" s="16" t="s">
        <v>450</v>
      </c>
    </row>
    <row r="125" spans="1:23" x14ac:dyDescent="0.2">
      <c r="A125" s="9" t="s">
        <v>1104</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x14ac:dyDescent="0.2">
      <c r="A126" s="9" t="s">
        <v>1103</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x14ac:dyDescent="0.2">
      <c r="A127" s="9" t="s">
        <v>1102</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16" t="s">
        <v>1102</v>
      </c>
      <c r="O127" s="16">
        <v>126</v>
      </c>
      <c r="P127" s="16" t="s">
        <v>92</v>
      </c>
      <c r="Q127" s="16" t="s">
        <v>445</v>
      </c>
      <c r="R127" s="16" t="s">
        <v>91</v>
      </c>
      <c r="S127" s="16" t="s">
        <v>93</v>
      </c>
      <c r="T127" s="16" t="s">
        <v>446</v>
      </c>
      <c r="U127" s="16" t="s">
        <v>95</v>
      </c>
      <c r="V127" s="16" t="s">
        <v>453</v>
      </c>
      <c r="W127" s="16" t="s">
        <v>451</v>
      </c>
    </row>
    <row r="128" spans="1:23" x14ac:dyDescent="0.2">
      <c r="A128" s="9" t="s">
        <v>1101</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x14ac:dyDescent="0.2">
      <c r="A129" s="9" t="s">
        <v>1100</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16" t="s">
        <v>1100</v>
      </c>
      <c r="O129" s="16">
        <v>128</v>
      </c>
      <c r="P129" s="16" t="s">
        <v>92</v>
      </c>
      <c r="Q129" s="16" t="s">
        <v>445</v>
      </c>
      <c r="R129" s="16" t="s">
        <v>91</v>
      </c>
      <c r="S129" s="16" t="s">
        <v>93</v>
      </c>
      <c r="T129" s="16" t="s">
        <v>446</v>
      </c>
      <c r="U129" s="16" t="s">
        <v>95</v>
      </c>
      <c r="V129" s="16" t="s">
        <v>453</v>
      </c>
      <c r="W129" s="16" t="s">
        <v>450</v>
      </c>
    </row>
    <row r="130" spans="1:23" x14ac:dyDescent="0.2">
      <c r="A130" s="9" t="s">
        <v>1099</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x14ac:dyDescent="0.2">
      <c r="A131" s="9" t="s">
        <v>1098</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16" t="s">
        <v>1098</v>
      </c>
      <c r="O131" s="16">
        <v>130</v>
      </c>
      <c r="P131" s="16" t="s">
        <v>446</v>
      </c>
      <c r="Q131" s="16" t="s">
        <v>445</v>
      </c>
      <c r="R131" s="16" t="s">
        <v>91</v>
      </c>
      <c r="S131" s="16" t="s">
        <v>92</v>
      </c>
      <c r="T131" s="16" t="s">
        <v>451</v>
      </c>
      <c r="U131" s="16" t="s">
        <v>95</v>
      </c>
      <c r="V131" s="16" t="s">
        <v>93</v>
      </c>
      <c r="W131" s="16" t="s">
        <v>450</v>
      </c>
    </row>
    <row r="132" spans="1:23" x14ac:dyDescent="0.2">
      <c r="A132" s="9" t="s">
        <v>1097</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x14ac:dyDescent="0.2">
      <c r="A133" s="9" t="s">
        <v>1096</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x14ac:dyDescent="0.2">
      <c r="A134" s="9" t="s">
        <v>1095</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x14ac:dyDescent="0.2">
      <c r="A135" s="9" t="s">
        <v>1094</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16" t="s">
        <v>1094</v>
      </c>
      <c r="O135" s="16">
        <v>134</v>
      </c>
      <c r="P135" s="16" t="s">
        <v>94</v>
      </c>
      <c r="Q135" s="16" t="s">
        <v>451</v>
      </c>
      <c r="R135" s="16" t="s">
        <v>91</v>
      </c>
      <c r="S135" s="16" t="s">
        <v>92</v>
      </c>
      <c r="T135" s="16" t="s">
        <v>446</v>
      </c>
      <c r="U135" s="16" t="s">
        <v>93</v>
      </c>
      <c r="V135" s="16" t="s">
        <v>453</v>
      </c>
      <c r="W135" s="16" t="s">
        <v>450</v>
      </c>
    </row>
    <row r="136" spans="1:23" x14ac:dyDescent="0.2">
      <c r="A136" s="9" t="s">
        <v>1093</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x14ac:dyDescent="0.2">
      <c r="A137" s="9" t="s">
        <v>1092</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x14ac:dyDescent="0.2">
      <c r="A138" s="9" t="s">
        <v>1091</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x14ac:dyDescent="0.2">
      <c r="A139" s="9" t="s">
        <v>1090</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16" t="s">
        <v>1090</v>
      </c>
      <c r="O139" s="16">
        <v>138</v>
      </c>
      <c r="P139" s="16" t="s">
        <v>94</v>
      </c>
      <c r="Q139" s="16" t="s">
        <v>445</v>
      </c>
      <c r="R139" s="16" t="s">
        <v>91</v>
      </c>
      <c r="S139" s="16" t="s">
        <v>92</v>
      </c>
      <c r="T139" s="16" t="s">
        <v>451</v>
      </c>
      <c r="U139" s="16" t="s">
        <v>93</v>
      </c>
      <c r="V139" s="16" t="s">
        <v>453</v>
      </c>
      <c r="W139" s="16" t="s">
        <v>450</v>
      </c>
    </row>
    <row r="140" spans="1:23" x14ac:dyDescent="0.2">
      <c r="A140" s="9" t="s">
        <v>1089</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x14ac:dyDescent="0.2">
      <c r="A141" s="9" t="s">
        <v>1088</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x14ac:dyDescent="0.2">
      <c r="A142" s="9" t="s">
        <v>1087</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x14ac:dyDescent="0.2">
      <c r="A143" s="9" t="s">
        <v>1086</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x14ac:dyDescent="0.2">
      <c r="A144" s="9" t="s">
        <v>1085</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16" t="s">
        <v>1085</v>
      </c>
      <c r="O144" s="16">
        <v>143</v>
      </c>
      <c r="P144" s="16" t="s">
        <v>94</v>
      </c>
      <c r="Q144" s="16" t="s">
        <v>445</v>
      </c>
      <c r="R144" s="16" t="s">
        <v>91</v>
      </c>
      <c r="S144" s="16" t="s">
        <v>92</v>
      </c>
      <c r="T144" s="16" t="s">
        <v>446</v>
      </c>
      <c r="U144" s="16" t="s">
        <v>93</v>
      </c>
      <c r="V144" s="16" t="s">
        <v>453</v>
      </c>
      <c r="W144" s="16" t="s">
        <v>450</v>
      </c>
    </row>
    <row r="145" spans="1:23" x14ac:dyDescent="0.2">
      <c r="A145" s="9" t="s">
        <v>1084</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x14ac:dyDescent="0.2">
      <c r="A146" s="9" t="s">
        <v>1083</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16" t="s">
        <v>1083</v>
      </c>
      <c r="O146" s="16">
        <v>145</v>
      </c>
      <c r="P146" s="16" t="s">
        <v>446</v>
      </c>
      <c r="Q146" s="16" t="s">
        <v>445</v>
      </c>
      <c r="R146" s="16" t="s">
        <v>91</v>
      </c>
      <c r="S146" s="16" t="s">
        <v>92</v>
      </c>
      <c r="T146" s="16" t="s">
        <v>451</v>
      </c>
      <c r="U146" s="16" t="s">
        <v>93</v>
      </c>
      <c r="V146" s="16" t="s">
        <v>94</v>
      </c>
      <c r="W146" s="16" t="s">
        <v>450</v>
      </c>
    </row>
    <row r="147" spans="1:23" x14ac:dyDescent="0.2">
      <c r="A147" s="9" t="s">
        <v>1082</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x14ac:dyDescent="0.2">
      <c r="A148" s="9" t="s">
        <v>1081</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x14ac:dyDescent="0.2">
      <c r="A149" s="9" t="s">
        <v>1080</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16" t="s">
        <v>1080</v>
      </c>
      <c r="O149" s="16">
        <v>148</v>
      </c>
      <c r="P149" s="16" t="s">
        <v>92</v>
      </c>
      <c r="Q149" s="16" t="s">
        <v>451</v>
      </c>
      <c r="R149" s="16" t="s">
        <v>91</v>
      </c>
      <c r="S149" s="16" t="s">
        <v>93</v>
      </c>
      <c r="T149" s="16" t="s">
        <v>94</v>
      </c>
      <c r="U149" s="16" t="s">
        <v>95</v>
      </c>
      <c r="V149" s="16" t="s">
        <v>453</v>
      </c>
      <c r="W149" s="16" t="s">
        <v>450</v>
      </c>
    </row>
    <row r="150" spans="1:23" x14ac:dyDescent="0.2">
      <c r="A150" s="9" t="s">
        <v>1079</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x14ac:dyDescent="0.2">
      <c r="A151" s="9" t="s">
        <v>1078</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x14ac:dyDescent="0.2">
      <c r="A152" s="9" t="s">
        <v>1077</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x14ac:dyDescent="0.2">
      <c r="A153" s="9" t="s">
        <v>1076</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x14ac:dyDescent="0.2">
      <c r="A154" s="9" t="s">
        <v>1075</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16" t="s">
        <v>1075</v>
      </c>
      <c r="O154" s="16">
        <v>153</v>
      </c>
      <c r="P154" s="16" t="s">
        <v>92</v>
      </c>
      <c r="Q154" s="16" t="s">
        <v>94</v>
      </c>
      <c r="R154" s="16" t="s">
        <v>91</v>
      </c>
      <c r="S154" s="16" t="s">
        <v>93</v>
      </c>
      <c r="T154" s="16" t="s">
        <v>446</v>
      </c>
      <c r="U154" s="16" t="s">
        <v>95</v>
      </c>
      <c r="V154" s="16" t="s">
        <v>453</v>
      </c>
      <c r="W154" s="16" t="s">
        <v>450</v>
      </c>
    </row>
    <row r="155" spans="1:23" x14ac:dyDescent="0.2">
      <c r="A155" s="9" t="s">
        <v>1074</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x14ac:dyDescent="0.2">
      <c r="A156" s="9" t="s">
        <v>1073</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16" t="s">
        <v>1073</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608</v>
      </c>
      <c r="B167" s="9">
        <f ca="1">+IF(A167=WORLDCUP!$BI$112,1,0)</f>
        <v>0</v>
      </c>
      <c r="C167" s="9" t="str">
        <f ca="1">+WORLDCUP!BD65</f>
        <v>Arabia Saudita</v>
      </c>
      <c r="D167" s="9" t="str">
        <f ca="1">+WORLDCUP!BD67</f>
        <v>Austria</v>
      </c>
      <c r="E167" s="9" t="str">
        <f ca="1">+WORLDCUP!BD66</f>
        <v>Irak</v>
      </c>
      <c r="F167" s="9" t="str">
        <f ca="1">+WORLDCUP!BD63</f>
        <v>Suecia</v>
      </c>
      <c r="G167" s="9" t="str">
        <f ca="1">+WORLDCUP!BD58</f>
        <v>Corea del Sur</v>
      </c>
      <c r="H167" s="9" t="str">
        <f ca="1">+WORLDCUP!BD64</f>
        <v>Irán</v>
      </c>
      <c r="I167" s="9" t="str">
        <f ca="1">+WORLDCUP!BD69</f>
        <v>Ghana</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x14ac:dyDescent="0.2">
      <c r="A168" s="9" t="s">
        <v>1072</v>
      </c>
      <c r="B168" s="9">
        <f ca="1">+IF(A168=WORLDCUP!$BI$112,1,0)</f>
        <v>0</v>
      </c>
      <c r="C168" s="9" t="str">
        <f ca="1">+WORLDCUP!BD62</f>
        <v>Costa de Marfil</v>
      </c>
      <c r="D168" s="9" t="str">
        <f ca="1">+WORLDCUP!BD67</f>
        <v>Austria</v>
      </c>
      <c r="E168" s="9" t="str">
        <f ca="1">+WORLDCUP!BD66</f>
        <v>Irak</v>
      </c>
      <c r="F168" s="9" t="str">
        <f ca="1">+WORLDCUP!BD58</f>
        <v>Corea del Sur</v>
      </c>
      <c r="G168" s="9" t="str">
        <f ca="1">+WORLDCUP!BD65</f>
        <v>Arabia Saudita</v>
      </c>
      <c r="H168" s="9" t="str">
        <f ca="1">+WORLDCUP!BD64</f>
        <v>Irán</v>
      </c>
      <c r="I168" s="9" t="str">
        <f ca="1">+WORLDCUP!BD69</f>
        <v>Ghana</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x14ac:dyDescent="0.2">
      <c r="A169" s="9" t="s">
        <v>1071</v>
      </c>
      <c r="B169" s="9">
        <f ca="1">+IF(A169=WORLDCUP!$BI$112,1,0)</f>
        <v>0</v>
      </c>
      <c r="C169" s="9" t="str">
        <f ca="1">+WORLDCUP!BD62</f>
        <v>Costa de Marfil</v>
      </c>
      <c r="D169" s="9" t="str">
        <f ca="1">+WORLDCUP!BD67</f>
        <v>Austria</v>
      </c>
      <c r="E169" s="9" t="str">
        <f ca="1">+WORLDCUP!BD66</f>
        <v>Irak</v>
      </c>
      <c r="F169" s="9" t="str">
        <f ca="1">+WORLDCUP!BD63</f>
        <v>Suecia</v>
      </c>
      <c r="G169" s="9" t="str">
        <f ca="1">+WORLDCUP!BD58</f>
        <v>Corea del Sur</v>
      </c>
      <c r="H169" s="9" t="str">
        <f ca="1">+WORLDCUP!BD65</f>
        <v>Arabia Saudita</v>
      </c>
      <c r="I169" s="9" t="str">
        <f ca="1">+WORLDCUP!BD69</f>
        <v>Ghana</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x14ac:dyDescent="0.2">
      <c r="A170" s="9" t="s">
        <v>1070</v>
      </c>
      <c r="B170" s="9">
        <f ca="1">+IF(A170=WORLDCUP!$BI$112,1,0)</f>
        <v>0</v>
      </c>
      <c r="C170" s="9" t="str">
        <f ca="1">+WORLDCUP!BD62</f>
        <v>Costa de Marfil</v>
      </c>
      <c r="D170" s="9" t="str">
        <f ca="1">+WORLDCUP!BD67</f>
        <v>Austria</v>
      </c>
      <c r="E170" s="9" t="str">
        <f ca="1">+WORLDCUP!BD66</f>
        <v>Irak</v>
      </c>
      <c r="F170" s="9" t="str">
        <f ca="1">+WORLDCUP!BD63</f>
        <v>Suecia</v>
      </c>
      <c r="G170" s="9" t="str">
        <f ca="1">+WORLDCUP!BD58</f>
        <v>Corea del Sur</v>
      </c>
      <c r="H170" s="9" t="str">
        <f ca="1">+WORLDCUP!BD64</f>
        <v>Irán</v>
      </c>
      <c r="I170" s="9" t="str">
        <f ca="1">+WORLDCUP!BD69</f>
        <v>Ghana</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x14ac:dyDescent="0.2">
      <c r="A171" s="9" t="s">
        <v>1069</v>
      </c>
      <c r="B171" s="9">
        <f ca="1">+IF(A171=WORLDCUP!$BI$112,1,0)</f>
        <v>0</v>
      </c>
      <c r="C171" s="9" t="str">
        <f ca="1">+WORLDCUP!BD62</f>
        <v>Costa de Marfil</v>
      </c>
      <c r="D171" s="9" t="str">
        <f ca="1">+WORLDCUP!BD64</f>
        <v>Irán</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x14ac:dyDescent="0.2">
      <c r="A172" s="9" t="s">
        <v>605</v>
      </c>
      <c r="B172" s="9">
        <f ca="1">+IF(A172=WORLDCUP!$BI$112,1,0)</f>
        <v>0</v>
      </c>
      <c r="C172" s="9" t="str">
        <f ca="1">+WORLDCUP!BD62</f>
        <v>Costa de Marfil</v>
      </c>
      <c r="D172" s="9" t="str">
        <f ca="1">+WORLDCUP!BD64</f>
        <v>Irán</v>
      </c>
      <c r="E172" s="9" t="str">
        <f ca="1">+WORLDCUP!BD66</f>
        <v>Irak</v>
      </c>
      <c r="F172" s="9" t="str">
        <f ca="1">+WORLDCUP!BD63</f>
        <v>Suecia</v>
      </c>
      <c r="G172" s="9" t="str">
        <f ca="1">+WORLDCUP!BD58</f>
        <v>Corea del Sur</v>
      </c>
      <c r="H172" s="9" t="str">
        <f ca="1">+WORLDCUP!BD65</f>
        <v>Arabia Saudita</v>
      </c>
      <c r="I172" s="9" t="str">
        <f ca="1">+WORLDCUP!BD69</f>
        <v>Ghana</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x14ac:dyDescent="0.2">
      <c r="A173" s="9" t="s">
        <v>607</v>
      </c>
      <c r="B173" s="9">
        <f ca="1">+IF(A173=WORLDCUP!$BI$112,1,0)</f>
        <v>0</v>
      </c>
      <c r="C173" s="9" t="str">
        <f ca="1">+WORLDCUP!BD62</f>
        <v>Costa de Marfil</v>
      </c>
      <c r="D173" s="9" t="str">
        <f ca="1">+WORLDCUP!BD64</f>
        <v>Irán</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Irak</v>
      </c>
      <c r="N173" s="16" t="s">
        <v>607</v>
      </c>
      <c r="O173" s="16">
        <v>172</v>
      </c>
      <c r="P173" s="16" t="s">
        <v>94</v>
      </c>
      <c r="Q173" s="16" t="s">
        <v>445</v>
      </c>
      <c r="R173" s="16" t="s">
        <v>451</v>
      </c>
      <c r="S173" s="16" t="s">
        <v>95</v>
      </c>
      <c r="T173" s="16" t="s">
        <v>90</v>
      </c>
      <c r="U173" s="16" t="s">
        <v>446</v>
      </c>
      <c r="V173" s="16" t="s">
        <v>453</v>
      </c>
      <c r="W173" s="16" t="s">
        <v>450</v>
      </c>
    </row>
    <row r="174" spans="1:23" x14ac:dyDescent="0.2">
      <c r="A174" s="9" t="s">
        <v>606</v>
      </c>
      <c r="B174" s="9">
        <f ca="1">+IF(A174=WORLDCUP!$BI$112,1,0)</f>
        <v>0</v>
      </c>
      <c r="C174" s="9" t="str">
        <f ca="1">+WORLDCUP!BD62</f>
        <v>Costa de Marfil</v>
      </c>
      <c r="D174" s="9" t="str">
        <f ca="1">+WORLDCUP!BD64</f>
        <v>Irán</v>
      </c>
      <c r="E174" s="9" t="str">
        <f ca="1">+WORLDCUP!BD67</f>
        <v>Austria</v>
      </c>
      <c r="F174" s="9" t="str">
        <f ca="1">+WORLDCUP!BD63</f>
        <v>Suecia</v>
      </c>
      <c r="G174" s="9" t="str">
        <f ca="1">+WORLDCUP!BD58</f>
        <v>Corea del Sur</v>
      </c>
      <c r="H174" s="9" t="str">
        <f ca="1">+WORLDCUP!BD65</f>
        <v>Arabia Saudita</v>
      </c>
      <c r="I174" s="9" t="str">
        <f ca="1">+WORLDCUP!BD66</f>
        <v>Irak</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x14ac:dyDescent="0.2">
      <c r="A175" s="9" t="s">
        <v>1068</v>
      </c>
      <c r="B175" s="9">
        <f ca="1">+IF(A175=WORLDCUP!$BI$112,1,0)</f>
        <v>0</v>
      </c>
      <c r="C175" s="9" t="str">
        <f ca="1">+WORLDCUP!BD65</f>
        <v>Arabia Saudita</v>
      </c>
      <c r="D175" s="9" t="str">
        <f ca="1">+WORLDCUP!BD67</f>
        <v>Austria</v>
      </c>
      <c r="E175" s="9" t="str">
        <f ca="1">+WORLDCUP!BD66</f>
        <v>Irak</v>
      </c>
      <c r="F175" s="9" t="str">
        <f ca="1">+WORLDCUP!BD61</f>
        <v>Australia</v>
      </c>
      <c r="G175" s="9" t="str">
        <f ca="1">+WORLDCUP!BD58</f>
        <v>Corea del Sur</v>
      </c>
      <c r="H175" s="9" t="str">
        <f ca="1">+WORLDCUP!BD64</f>
        <v>Irán</v>
      </c>
      <c r="I175" s="9" t="str">
        <f ca="1">+WORLDCUP!BD69</f>
        <v>Ghana</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x14ac:dyDescent="0.2">
      <c r="A176" s="9" t="s">
        <v>1067</v>
      </c>
      <c r="B176" s="9">
        <f ca="1">+IF(A176=WORLDCUP!$BI$112,1,0)</f>
        <v>0</v>
      </c>
      <c r="C176" s="9" t="str">
        <f ca="1">+WORLDCUP!BD65</f>
        <v>Arabia Saudita</v>
      </c>
      <c r="D176" s="9" t="str">
        <f ca="1">+WORLDCUP!BD67</f>
        <v>Austria</v>
      </c>
      <c r="E176" s="9" t="str">
        <f ca="1">+WORLDCUP!BD66</f>
        <v>Irak</v>
      </c>
      <c r="F176" s="9" t="str">
        <f ca="1">+WORLDCUP!BD61</f>
        <v>Australia</v>
      </c>
      <c r="G176" s="9" t="str">
        <f ca="1">+WORLDCUP!BD58</f>
        <v>Corea del Sur</v>
      </c>
      <c r="H176" s="9" t="str">
        <f ca="1">+WORLDCUP!BD63</f>
        <v>Suecia</v>
      </c>
      <c r="I176" s="9" t="str">
        <f ca="1">+WORLDCUP!BD69</f>
        <v>Ghana</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x14ac:dyDescent="0.2">
      <c r="A177" s="9" t="s">
        <v>1066</v>
      </c>
      <c r="B177" s="9">
        <f ca="1">+IF(A177=WORLDCUP!$BI$112,1,0)</f>
        <v>0</v>
      </c>
      <c r="C177" s="9" t="str">
        <f ca="1">+WORLDCUP!BD66</f>
        <v>Irak</v>
      </c>
      <c r="D177" s="9" t="str">
        <f ca="1">+WORLDCUP!BD64</f>
        <v>Irán</v>
      </c>
      <c r="E177" s="9" t="str">
        <f ca="1">+WORLDCUP!BD67</f>
        <v>Austria</v>
      </c>
      <c r="F177" s="9" t="str">
        <f ca="1">+WORLDCUP!BD61</f>
        <v>Australia</v>
      </c>
      <c r="G177" s="9" t="str">
        <f ca="1">+WORLDCUP!BD58</f>
        <v>Corea del Sur</v>
      </c>
      <c r="H177" s="9" t="str">
        <f ca="1">+WORLDCUP!BD63</f>
        <v>Suecia</v>
      </c>
      <c r="I177" s="9" t="str">
        <f ca="1">+WORLDCUP!BD69</f>
        <v>Ghana</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x14ac:dyDescent="0.2">
      <c r="A178" s="9" t="s">
        <v>1065</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Corea del Sur</v>
      </c>
      <c r="H178" s="9" t="str">
        <f ca="1">+WORLDCUP!BD63</f>
        <v>Suecia</v>
      </c>
      <c r="I178" s="9" t="str">
        <f ca="1">+WORLDCUP!BD69</f>
        <v>Ghana</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x14ac:dyDescent="0.2">
      <c r="A179" s="9" t="s">
        <v>1064</v>
      </c>
      <c r="B179" s="9">
        <f ca="1">+IF(A179=WORLDCUP!$BI$112,1,0)</f>
        <v>0</v>
      </c>
      <c r="C179" s="9" t="str">
        <f ca="1">+WORLDCUP!BD65</f>
        <v>Arabia Saudita</v>
      </c>
      <c r="D179" s="9" t="str">
        <f ca="1">+WORLDCUP!BD64</f>
        <v>Irán</v>
      </c>
      <c r="E179" s="9" t="str">
        <f ca="1">+WORLDCUP!BD66</f>
        <v>Irak</v>
      </c>
      <c r="F179" s="9" t="str">
        <f ca="1">+WORLDCUP!BD61</f>
        <v>Australia</v>
      </c>
      <c r="G179" s="9" t="str">
        <f ca="1">+WORLDCUP!BD58</f>
        <v>Corea del Sur</v>
      </c>
      <c r="H179" s="9" t="str">
        <f ca="1">+WORLDCUP!BD63</f>
        <v>Suecia</v>
      </c>
      <c r="I179" s="9" t="str">
        <f ca="1">+WORLDCUP!BD69</f>
        <v>Ghana</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x14ac:dyDescent="0.2">
      <c r="A180" s="9" t="s">
        <v>1063</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Corea del Sur</v>
      </c>
      <c r="H180" s="9" t="str">
        <f ca="1">+WORLDCUP!BD63</f>
        <v>Suecia</v>
      </c>
      <c r="I180" s="9" t="str">
        <f ca="1">+WORLDCUP!BD69</f>
        <v>Ghana</v>
      </c>
      <c r="J180" s="9" t="str">
        <f ca="1">+WORLDCUP!BD66</f>
        <v>Irak</v>
      </c>
      <c r="N180" s="16" t="s">
        <v>1063</v>
      </c>
      <c r="O180" s="16">
        <v>179</v>
      </c>
      <c r="P180" s="16" t="s">
        <v>446</v>
      </c>
      <c r="Q180" s="16" t="s">
        <v>445</v>
      </c>
      <c r="R180" s="16" t="s">
        <v>451</v>
      </c>
      <c r="S180" s="16" t="s">
        <v>93</v>
      </c>
      <c r="T180" s="16" t="s">
        <v>90</v>
      </c>
      <c r="U180" s="16" t="s">
        <v>95</v>
      </c>
      <c r="V180" s="16" t="s">
        <v>453</v>
      </c>
      <c r="W180" s="16" t="s">
        <v>450</v>
      </c>
    </row>
    <row r="181" spans="1:23" x14ac:dyDescent="0.2">
      <c r="A181" s="9" t="s">
        <v>1062</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Corea del Sur</v>
      </c>
      <c r="H181" s="9" t="str">
        <f ca="1">+WORLDCUP!BD63</f>
        <v>Suecia</v>
      </c>
      <c r="I181" s="9" t="str">
        <f ca="1">+WORLDCUP!BD66</f>
        <v>Irak</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x14ac:dyDescent="0.2">
      <c r="A182" s="9" t="s">
        <v>1061</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Corea del Sur</v>
      </c>
      <c r="H182" s="9" t="str">
        <f ca="1">+WORLDCUP!BD65</f>
        <v>Arabia Saudita</v>
      </c>
      <c r="I182" s="9" t="str">
        <f ca="1">+WORLDCUP!BD69</f>
        <v>Ghana</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x14ac:dyDescent="0.2">
      <c r="A183" s="9" t="s">
        <v>1060</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Corea del Sur</v>
      </c>
      <c r="H183" s="9" t="str">
        <f ca="1">+WORLDCUP!BD64</f>
        <v>Irán</v>
      </c>
      <c r="I183" s="9" t="str">
        <f ca="1">+WORLDCUP!BD69</f>
        <v>Ghana</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x14ac:dyDescent="0.2">
      <c r="A184" s="9" t="s">
        <v>1059</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Corea del Sur</v>
      </c>
      <c r="H184" s="9" t="str">
        <f ca="1">+WORLDCUP!BD65</f>
        <v>Arabia Saudita</v>
      </c>
      <c r="I184" s="9" t="str">
        <f ca="1">+WORLDCUP!BD69</f>
        <v>Ghana</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x14ac:dyDescent="0.2">
      <c r="A185" s="9" t="s">
        <v>1058</v>
      </c>
      <c r="B185" s="9">
        <f ca="1">+IF(A185=WORLDCUP!$BI$112,1,0)</f>
        <v>0</v>
      </c>
      <c r="C185" s="9" t="str">
        <f ca="1">+WORLDCUP!BD62</f>
        <v>Costa de Marfil</v>
      </c>
      <c r="D185" s="9" t="str">
        <f ca="1">+WORLDCUP!BD64</f>
        <v>Irán</v>
      </c>
      <c r="E185" s="9" t="str">
        <f ca="1">+WORLDCUP!BD66</f>
        <v>Irak</v>
      </c>
      <c r="F185" s="9" t="str">
        <f ca="1">+WORLDCUP!BD61</f>
        <v>Australia</v>
      </c>
      <c r="G185" s="9" t="str">
        <f ca="1">+WORLDCUP!BD58</f>
        <v>Corea del Sur</v>
      </c>
      <c r="H185" s="9" t="str">
        <f ca="1">+WORLDCUP!BD65</f>
        <v>Arabia Saudita</v>
      </c>
      <c r="I185" s="9" t="str">
        <f ca="1">+WORLDCUP!BD69</f>
        <v>Ghana</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x14ac:dyDescent="0.2">
      <c r="A186" s="9" t="s">
        <v>1057</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Corea del Sur</v>
      </c>
      <c r="H186" s="9" t="str">
        <f ca="1">+WORLDCUP!BD65</f>
        <v>Arabia Saudita</v>
      </c>
      <c r="I186" s="9" t="str">
        <f ca="1">+WORLDCUP!BD69</f>
        <v>Ghana</v>
      </c>
      <c r="J186" s="9" t="str">
        <f ca="1">+WORLDCUP!BD66</f>
        <v>Irak</v>
      </c>
      <c r="N186" s="16" t="s">
        <v>1057</v>
      </c>
      <c r="O186" s="16">
        <v>185</v>
      </c>
      <c r="P186" s="16" t="s">
        <v>94</v>
      </c>
      <c r="Q186" s="16" t="s">
        <v>445</v>
      </c>
      <c r="R186" s="16" t="s">
        <v>451</v>
      </c>
      <c r="S186" s="16" t="s">
        <v>93</v>
      </c>
      <c r="T186" s="16" t="s">
        <v>90</v>
      </c>
      <c r="U186" s="16" t="s">
        <v>446</v>
      </c>
      <c r="V186" s="16" t="s">
        <v>453</v>
      </c>
      <c r="W186" s="16" t="s">
        <v>450</v>
      </c>
    </row>
    <row r="187" spans="1:23" x14ac:dyDescent="0.2">
      <c r="A187" s="9" t="s">
        <v>1056</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Corea del Sur</v>
      </c>
      <c r="H187" s="9" t="str">
        <f ca="1">+WORLDCUP!BD65</f>
        <v>Arabia Saudita</v>
      </c>
      <c r="I187" s="9" t="str">
        <f ca="1">+WORLDCUP!BD66</f>
        <v>Irak</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x14ac:dyDescent="0.2">
      <c r="A188" s="9" t="s">
        <v>1055</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Corea del Sur</v>
      </c>
      <c r="H188" s="9" t="str">
        <f ca="1">+WORLDCUP!BD63</f>
        <v>Suecia</v>
      </c>
      <c r="I188" s="9" t="str">
        <f ca="1">+WORLDCUP!BD69</f>
        <v>Ghana</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x14ac:dyDescent="0.2">
      <c r="A189" s="9" t="s">
        <v>1054</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x14ac:dyDescent="0.2">
      <c r="A190" s="9" t="s">
        <v>1053</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Corea del Sur</v>
      </c>
      <c r="H190" s="9" t="str">
        <f ca="1">+WORLDCUP!BD63</f>
        <v>Suecia</v>
      </c>
      <c r="I190" s="9" t="str">
        <f ca="1">+WORLDCUP!BD69</f>
        <v>Ghana</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x14ac:dyDescent="0.2">
      <c r="A191" s="9" t="s">
        <v>1052</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Irak</v>
      </c>
      <c r="N191" s="16" t="s">
        <v>1052</v>
      </c>
      <c r="O191" s="16">
        <v>190</v>
      </c>
      <c r="P191" s="16" t="s">
        <v>446</v>
      </c>
      <c r="Q191" s="16" t="s">
        <v>451</v>
      </c>
      <c r="R191" s="16" t="s">
        <v>94</v>
      </c>
      <c r="S191" s="16" t="s">
        <v>93</v>
      </c>
      <c r="T191" s="16" t="s">
        <v>90</v>
      </c>
      <c r="U191" s="16" t="s">
        <v>95</v>
      </c>
      <c r="V191" s="16" t="s">
        <v>453</v>
      </c>
      <c r="W191" s="16" t="s">
        <v>450</v>
      </c>
    </row>
    <row r="192" spans="1:23" x14ac:dyDescent="0.2">
      <c r="A192" s="9" t="s">
        <v>1051</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Corea del Sur</v>
      </c>
      <c r="H192" s="9" t="str">
        <f ca="1">+WORLDCUP!BD63</f>
        <v>Suecia</v>
      </c>
      <c r="I192" s="9" t="str">
        <f ca="1">+WORLDCUP!BD66</f>
        <v>Irak</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x14ac:dyDescent="0.2">
      <c r="A193" s="9" t="s">
        <v>1050</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Corea del Sur</v>
      </c>
      <c r="H193" s="9" t="str">
        <f ca="1">+WORLDCUP!BD63</f>
        <v>Suecia</v>
      </c>
      <c r="I193" s="9" t="str">
        <f ca="1">+WORLDCUP!BD69</f>
        <v>Ghana</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x14ac:dyDescent="0.2">
      <c r="A194" s="9" t="s">
        <v>1049</v>
      </c>
      <c r="B194" s="9">
        <f ca="1">+IF(A194=WORLDCUP!$BI$112,1,0)</f>
        <v>0</v>
      </c>
      <c r="C194" s="9" t="str">
        <f ca="1">+WORLDCUP!BD62</f>
        <v>Costa de Marfil</v>
      </c>
      <c r="D194" s="9" t="str">
        <f ca="1">+WORLDCUP!BD64</f>
        <v>Irán</v>
      </c>
      <c r="E194" s="9" t="str">
        <f ca="1">+WORLDCUP!BD66</f>
        <v>Irak</v>
      </c>
      <c r="F194" s="9" t="str">
        <f ca="1">+WORLDCUP!BD61</f>
        <v>Australia</v>
      </c>
      <c r="G194" s="9" t="str">
        <f ca="1">+WORLDCUP!BD58</f>
        <v>Corea del Sur</v>
      </c>
      <c r="H194" s="9" t="str">
        <f ca="1">+WORLDCUP!BD63</f>
        <v>Suecia</v>
      </c>
      <c r="I194" s="9" t="str">
        <f ca="1">+WORLDCUP!BD69</f>
        <v>Ghana</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x14ac:dyDescent="0.2">
      <c r="A195" s="9" t="s">
        <v>1048</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Corea del Sur</v>
      </c>
      <c r="H195" s="9" t="str">
        <f ca="1">+WORLDCUP!BD63</f>
        <v>Suecia</v>
      </c>
      <c r="I195" s="9" t="str">
        <f ca="1">+WORLDCUP!BD69</f>
        <v>Ghana</v>
      </c>
      <c r="J195" s="9" t="str">
        <f ca="1">+WORLDCUP!BD66</f>
        <v>Irak</v>
      </c>
      <c r="N195" s="16" t="s">
        <v>1048</v>
      </c>
      <c r="O195" s="16">
        <v>194</v>
      </c>
      <c r="P195" s="16" t="s">
        <v>94</v>
      </c>
      <c r="Q195" s="16" t="s">
        <v>445</v>
      </c>
      <c r="R195" s="16" t="s">
        <v>451</v>
      </c>
      <c r="S195" s="16" t="s">
        <v>93</v>
      </c>
      <c r="T195" s="16" t="s">
        <v>90</v>
      </c>
      <c r="U195" s="16" t="s">
        <v>95</v>
      </c>
      <c r="V195" s="16" t="s">
        <v>453</v>
      </c>
      <c r="W195" s="16" t="s">
        <v>450</v>
      </c>
    </row>
    <row r="196" spans="1:23" x14ac:dyDescent="0.2">
      <c r="A196" s="9" t="s">
        <v>1047</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Corea del Sur</v>
      </c>
      <c r="H196" s="9" t="str">
        <f ca="1">+WORLDCUP!BD63</f>
        <v>Suecia</v>
      </c>
      <c r="I196" s="9" t="str">
        <f ca="1">+WORLDCUP!BD66</f>
        <v>Irak</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x14ac:dyDescent="0.2">
      <c r="A197" s="9" t="s">
        <v>604</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x14ac:dyDescent="0.2">
      <c r="A198" s="9" t="s">
        <v>603</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Corea del Sur</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x14ac:dyDescent="0.2">
      <c r="A199" s="9" t="s">
        <v>602</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Corea del Sur</v>
      </c>
      <c r="H199" s="9" t="str">
        <f ca="1">+WORLDCUP!BD63</f>
        <v>Suecia</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x14ac:dyDescent="0.2">
      <c r="A200" s="9" t="s">
        <v>601</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Irak</v>
      </c>
      <c r="N200" s="16" t="s">
        <v>601</v>
      </c>
      <c r="O200" s="16">
        <v>199</v>
      </c>
      <c r="P200" s="16" t="s">
        <v>446</v>
      </c>
      <c r="Q200" s="16" t="s">
        <v>445</v>
      </c>
      <c r="R200" s="16" t="s">
        <v>94</v>
      </c>
      <c r="S200" s="16" t="s">
        <v>93</v>
      </c>
      <c r="T200" s="16" t="s">
        <v>90</v>
      </c>
      <c r="U200" s="16" t="s">
        <v>95</v>
      </c>
      <c r="V200" s="16" t="s">
        <v>453</v>
      </c>
      <c r="W200" s="16" t="s">
        <v>450</v>
      </c>
    </row>
    <row r="201" spans="1:23" x14ac:dyDescent="0.2">
      <c r="A201" s="9" t="s">
        <v>600</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Corea del Sur</v>
      </c>
      <c r="H201" s="9" t="str">
        <f ca="1">+WORLDCUP!BD63</f>
        <v>Suecia</v>
      </c>
      <c r="I201" s="9" t="str">
        <f ca="1">+WORLDCUP!BD66</f>
        <v>Irak</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x14ac:dyDescent="0.2">
      <c r="A202" s="9" t="s">
        <v>599</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Corea del Sur</v>
      </c>
      <c r="H202" s="9" t="str">
        <f ca="1">+WORLDCUP!BD63</f>
        <v>Suecia</v>
      </c>
      <c r="I202" s="9" t="str">
        <f ca="1">+WORLDCUP!BD62</f>
        <v>Costa de Marfil</v>
      </c>
      <c r="J202" s="9" t="str">
        <f ca="1">+WORLDCUP!BD66</f>
        <v>Irak</v>
      </c>
      <c r="N202" s="16" t="s">
        <v>599</v>
      </c>
      <c r="O202" s="16">
        <v>201</v>
      </c>
      <c r="P202" s="16" t="s">
        <v>446</v>
      </c>
      <c r="Q202" s="16" t="s">
        <v>445</v>
      </c>
      <c r="R202" s="16" t="s">
        <v>451</v>
      </c>
      <c r="S202" s="16" t="s">
        <v>93</v>
      </c>
      <c r="T202" s="16" t="s">
        <v>90</v>
      </c>
      <c r="U202" s="16" t="s">
        <v>95</v>
      </c>
      <c r="V202" s="16" t="s">
        <v>94</v>
      </c>
      <c r="W202" s="16" t="s">
        <v>450</v>
      </c>
    </row>
    <row r="203" spans="1:23" x14ac:dyDescent="0.2">
      <c r="A203" s="9" t="s">
        <v>1046</v>
      </c>
      <c r="B203" s="9">
        <f ca="1">+IF(A203=WORLDCUP!$BI$112,1,0)</f>
        <v>0</v>
      </c>
      <c r="C203" s="9" t="str">
        <f ca="1">+WORLDCUP!BD65</f>
        <v>Arabia Saudita</v>
      </c>
      <c r="D203" s="9" t="str">
        <f ca="1">+WORLDCUP!BD67</f>
        <v>Austria</v>
      </c>
      <c r="E203" s="9" t="str">
        <f ca="1">+WORLDCUP!BD66</f>
        <v>Irak</v>
      </c>
      <c r="F203" s="9" t="str">
        <f ca="1">+WORLDCUP!BD60</f>
        <v>Haití</v>
      </c>
      <c r="G203" s="9" t="str">
        <f ca="1">+WORLDCUP!BD58</f>
        <v>Corea del Sur</v>
      </c>
      <c r="H203" s="9" t="str">
        <f ca="1">+WORLDCUP!BD64</f>
        <v>Irán</v>
      </c>
      <c r="I203" s="9" t="str">
        <f ca="1">+WORLDCUP!BD69</f>
        <v>Ghana</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x14ac:dyDescent="0.2">
      <c r="A204" s="9" t="s">
        <v>1045</v>
      </c>
      <c r="B204" s="9">
        <f ca="1">+IF(A204=WORLDCUP!$BI$112,1,0)</f>
        <v>0</v>
      </c>
      <c r="C204" s="9" t="str">
        <f ca="1">+WORLDCUP!BD65</f>
        <v>Arabia Saudita</v>
      </c>
      <c r="D204" s="9" t="str">
        <f ca="1">+WORLDCUP!BD67</f>
        <v>Austria</v>
      </c>
      <c r="E204" s="9" t="str">
        <f ca="1">+WORLDCUP!BD66</f>
        <v>Irak</v>
      </c>
      <c r="F204" s="9" t="str">
        <f ca="1">+WORLDCUP!BD60</f>
        <v>Haití</v>
      </c>
      <c r="G204" s="9" t="str">
        <f ca="1">+WORLDCUP!BD58</f>
        <v>Corea del Sur</v>
      </c>
      <c r="H204" s="9" t="str">
        <f ca="1">+WORLDCUP!BD63</f>
        <v>Suecia</v>
      </c>
      <c r="I204" s="9" t="str">
        <f ca="1">+WORLDCUP!BD69</f>
        <v>Ghana</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x14ac:dyDescent="0.2">
      <c r="A205" s="9" t="s">
        <v>1044</v>
      </c>
      <c r="B205" s="9">
        <f ca="1">+IF(A205=WORLDCUP!$BI$112,1,0)</f>
        <v>0</v>
      </c>
      <c r="C205" s="9" t="str">
        <f ca="1">+WORLDCUP!BD66</f>
        <v>Irak</v>
      </c>
      <c r="D205" s="9" t="str">
        <f ca="1">+WORLDCUP!BD64</f>
        <v>Irán</v>
      </c>
      <c r="E205" s="9" t="str">
        <f ca="1">+WORLDCUP!BD67</f>
        <v>Austria</v>
      </c>
      <c r="F205" s="9" t="str">
        <f ca="1">+WORLDCUP!BD60</f>
        <v>Haití</v>
      </c>
      <c r="G205" s="9" t="str">
        <f ca="1">+WORLDCUP!BD58</f>
        <v>Corea del Sur</v>
      </c>
      <c r="H205" s="9" t="str">
        <f ca="1">+WORLDCUP!BD63</f>
        <v>Suecia</v>
      </c>
      <c r="I205" s="9" t="str">
        <f ca="1">+WORLDCUP!BD69</f>
        <v>Ghana</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x14ac:dyDescent="0.2">
      <c r="A206" s="9" t="s">
        <v>1043</v>
      </c>
      <c r="B206" s="9">
        <f ca="1">+IF(A206=WORLDCUP!$BI$112,1,0)</f>
        <v>0</v>
      </c>
      <c r="C206" s="9" t="str">
        <f ca="1">+WORLDCUP!BD65</f>
        <v>Arabia Saudita</v>
      </c>
      <c r="D206" s="9" t="str">
        <f ca="1">+WORLDCUP!BD64</f>
        <v>Irán</v>
      </c>
      <c r="E206" s="9" t="str">
        <f ca="1">+WORLDCUP!BD67</f>
        <v>Austria</v>
      </c>
      <c r="F206" s="9" t="str">
        <f ca="1">+WORLDCUP!BD60</f>
        <v>Haití</v>
      </c>
      <c r="G206" s="9" t="str">
        <f ca="1">+WORLDCUP!BD58</f>
        <v>Corea del Sur</v>
      </c>
      <c r="H206" s="9" t="str">
        <f ca="1">+WORLDCUP!BD63</f>
        <v>Suecia</v>
      </c>
      <c r="I206" s="9" t="str">
        <f ca="1">+WORLDCUP!BD69</f>
        <v>Ghana</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x14ac:dyDescent="0.2">
      <c r="A207" s="9" t="s">
        <v>1042</v>
      </c>
      <c r="B207" s="9">
        <f ca="1">+IF(A207=WORLDCUP!$BI$112,1,0)</f>
        <v>0</v>
      </c>
      <c r="C207" s="9" t="str">
        <f ca="1">+WORLDCUP!BD65</f>
        <v>Arabia Saudita</v>
      </c>
      <c r="D207" s="9" t="str">
        <f ca="1">+WORLDCUP!BD64</f>
        <v>Irán</v>
      </c>
      <c r="E207" s="9" t="str">
        <f ca="1">+WORLDCUP!BD66</f>
        <v>Irak</v>
      </c>
      <c r="F207" s="9" t="str">
        <f ca="1">+WORLDCUP!BD60</f>
        <v>Haití</v>
      </c>
      <c r="G207" s="9" t="str">
        <f ca="1">+WORLDCUP!BD58</f>
        <v>Corea del Sur</v>
      </c>
      <c r="H207" s="9" t="str">
        <f ca="1">+WORLDCUP!BD63</f>
        <v>Suecia</v>
      </c>
      <c r="I207" s="9" t="str">
        <f ca="1">+WORLDCUP!BD69</f>
        <v>Ghana</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x14ac:dyDescent="0.2">
      <c r="A208" s="9" t="s">
        <v>1041</v>
      </c>
      <c r="B208" s="9">
        <f ca="1">+IF(A208=WORLDCUP!$BI$112,1,0)</f>
        <v>0</v>
      </c>
      <c r="C208" s="9" t="str">
        <f ca="1">+WORLDCUP!BD65</f>
        <v>Arabia Saudita</v>
      </c>
      <c r="D208" s="9" t="str">
        <f ca="1">+WORLDCUP!BD64</f>
        <v>Irán</v>
      </c>
      <c r="E208" s="9" t="str">
        <f ca="1">+WORLDCUP!BD67</f>
        <v>Austria</v>
      </c>
      <c r="F208" s="9" t="str">
        <f ca="1">+WORLDCUP!BD60</f>
        <v>Haití</v>
      </c>
      <c r="G208" s="9" t="str">
        <f ca="1">+WORLDCUP!BD58</f>
        <v>Corea del Sur</v>
      </c>
      <c r="H208" s="9" t="str">
        <f ca="1">+WORLDCUP!BD63</f>
        <v>Suecia</v>
      </c>
      <c r="I208" s="9" t="str">
        <f ca="1">+WORLDCUP!BD69</f>
        <v>Ghana</v>
      </c>
      <c r="J208" s="9" t="str">
        <f ca="1">+WORLDCUP!BD66</f>
        <v>Irak</v>
      </c>
      <c r="N208" s="16" t="s">
        <v>1041</v>
      </c>
      <c r="O208" s="16">
        <v>207</v>
      </c>
      <c r="P208" s="16" t="s">
        <v>446</v>
      </c>
      <c r="Q208" s="16" t="s">
        <v>445</v>
      </c>
      <c r="R208" s="16" t="s">
        <v>451</v>
      </c>
      <c r="S208" s="16" t="s">
        <v>92</v>
      </c>
      <c r="T208" s="16" t="s">
        <v>90</v>
      </c>
      <c r="U208" s="16" t="s">
        <v>95</v>
      </c>
      <c r="V208" s="16" t="s">
        <v>453</v>
      </c>
      <c r="W208" s="16" t="s">
        <v>450</v>
      </c>
    </row>
    <row r="209" spans="1:23" x14ac:dyDescent="0.2">
      <c r="A209" s="9" t="s">
        <v>1040</v>
      </c>
      <c r="B209" s="9">
        <f ca="1">+IF(A209=WORLDCUP!$BI$112,1,0)</f>
        <v>0</v>
      </c>
      <c r="C209" s="9" t="str">
        <f ca="1">+WORLDCUP!BD65</f>
        <v>Arabia Saudita</v>
      </c>
      <c r="D209" s="9" t="str">
        <f ca="1">+WORLDCUP!BD64</f>
        <v>Irán</v>
      </c>
      <c r="E209" s="9" t="str">
        <f ca="1">+WORLDCUP!BD67</f>
        <v>Austria</v>
      </c>
      <c r="F209" s="9" t="str">
        <f ca="1">+WORLDCUP!BD60</f>
        <v>Haití</v>
      </c>
      <c r="G209" s="9" t="str">
        <f ca="1">+WORLDCUP!BD58</f>
        <v>Corea del Sur</v>
      </c>
      <c r="H209" s="9" t="str">
        <f ca="1">+WORLDCUP!BD63</f>
        <v>Suecia</v>
      </c>
      <c r="I209" s="9" t="str">
        <f ca="1">+WORLDCUP!BD66</f>
        <v>Irak</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x14ac:dyDescent="0.2">
      <c r="A210" s="9" t="s">
        <v>1039</v>
      </c>
      <c r="B210" s="9">
        <f ca="1">+IF(A210=WORLDCUP!$BI$112,1,0)</f>
        <v>0</v>
      </c>
      <c r="C210" s="9" t="str">
        <f ca="1">+WORLDCUP!BD62</f>
        <v>Costa de Marfil</v>
      </c>
      <c r="D210" s="9" t="str">
        <f ca="1">+WORLDCUP!BD67</f>
        <v>Austria</v>
      </c>
      <c r="E210" s="9" t="str">
        <f ca="1">+WORLDCUP!BD66</f>
        <v>Irak</v>
      </c>
      <c r="F210" s="9" t="str">
        <f ca="1">+WORLDCUP!BD60</f>
        <v>Haití</v>
      </c>
      <c r="G210" s="9" t="str">
        <f ca="1">+WORLDCUP!BD58</f>
        <v>Corea del Sur</v>
      </c>
      <c r="H210" s="9" t="str">
        <f ca="1">+WORLDCUP!BD65</f>
        <v>Arabia Saudita</v>
      </c>
      <c r="I210" s="9" t="str">
        <f ca="1">+WORLDCUP!BD69</f>
        <v>Ghana</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x14ac:dyDescent="0.2">
      <c r="A211" s="9" t="s">
        <v>1038</v>
      </c>
      <c r="B211" s="9">
        <f ca="1">+IF(A211=WORLDCUP!$BI$112,1,0)</f>
        <v>0</v>
      </c>
      <c r="C211" s="9" t="str">
        <f ca="1">+WORLDCUP!BD62</f>
        <v>Costa de Marfil</v>
      </c>
      <c r="D211" s="9" t="str">
        <f ca="1">+WORLDCUP!BD67</f>
        <v>Austria</v>
      </c>
      <c r="E211" s="9" t="str">
        <f ca="1">+WORLDCUP!BD66</f>
        <v>Irak</v>
      </c>
      <c r="F211" s="9" t="str">
        <f ca="1">+WORLDCUP!BD60</f>
        <v>Haití</v>
      </c>
      <c r="G211" s="9" t="str">
        <f ca="1">+WORLDCUP!BD58</f>
        <v>Corea del Sur</v>
      </c>
      <c r="H211" s="9" t="str">
        <f ca="1">+WORLDCUP!BD64</f>
        <v>Irán</v>
      </c>
      <c r="I211" s="9" t="str">
        <f ca="1">+WORLDCUP!BD69</f>
        <v>Ghana</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x14ac:dyDescent="0.2">
      <c r="A212" s="9" t="s">
        <v>1037</v>
      </c>
      <c r="B212" s="9">
        <f ca="1">+IF(A212=WORLDCUP!$BI$112,1,0)</f>
        <v>0</v>
      </c>
      <c r="C212" s="9" t="str">
        <f ca="1">+WORLDCUP!BD62</f>
        <v>Costa de Marfil</v>
      </c>
      <c r="D212" s="9" t="str">
        <f ca="1">+WORLDCUP!BD64</f>
        <v>Irán</v>
      </c>
      <c r="E212" s="9" t="str">
        <f ca="1">+WORLDCUP!BD67</f>
        <v>Austria</v>
      </c>
      <c r="F212" s="9" t="str">
        <f ca="1">+WORLDCUP!BD60</f>
        <v>Haití</v>
      </c>
      <c r="G212" s="9" t="str">
        <f ca="1">+WORLDCUP!BD58</f>
        <v>Corea del Sur</v>
      </c>
      <c r="H212" s="9" t="str">
        <f ca="1">+WORLDCUP!BD65</f>
        <v>Arabia Saudita</v>
      </c>
      <c r="I212" s="9" t="str">
        <f ca="1">+WORLDCUP!BD69</f>
        <v>Ghana</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x14ac:dyDescent="0.2">
      <c r="A213" s="9" t="s">
        <v>1036</v>
      </c>
      <c r="B213" s="9">
        <f ca="1">+IF(A213=WORLDCUP!$BI$112,1,0)</f>
        <v>0</v>
      </c>
      <c r="C213" s="9" t="str">
        <f ca="1">+WORLDCUP!BD62</f>
        <v>Costa de Marfil</v>
      </c>
      <c r="D213" s="9" t="str">
        <f ca="1">+WORLDCUP!BD64</f>
        <v>Irán</v>
      </c>
      <c r="E213" s="9" t="str">
        <f ca="1">+WORLDCUP!BD66</f>
        <v>Irak</v>
      </c>
      <c r="F213" s="9" t="str">
        <f ca="1">+WORLDCUP!BD60</f>
        <v>Haití</v>
      </c>
      <c r="G213" s="9" t="str">
        <f ca="1">+WORLDCUP!BD58</f>
        <v>Corea del Sur</v>
      </c>
      <c r="H213" s="9" t="str">
        <f ca="1">+WORLDCUP!BD65</f>
        <v>Arabia Saudita</v>
      </c>
      <c r="I213" s="9" t="str">
        <f ca="1">+WORLDCUP!BD69</f>
        <v>Ghana</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x14ac:dyDescent="0.2">
      <c r="A214" s="9" t="s">
        <v>1035</v>
      </c>
      <c r="B214" s="9">
        <f ca="1">+IF(A214=WORLDCUP!$BI$112,1,0)</f>
        <v>0</v>
      </c>
      <c r="C214" s="9" t="str">
        <f ca="1">+WORLDCUP!BD62</f>
        <v>Costa de Marfil</v>
      </c>
      <c r="D214" s="9" t="str">
        <f ca="1">+WORLDCUP!BD64</f>
        <v>Irán</v>
      </c>
      <c r="E214" s="9" t="str">
        <f ca="1">+WORLDCUP!BD67</f>
        <v>Austria</v>
      </c>
      <c r="F214" s="9" t="str">
        <f ca="1">+WORLDCUP!BD60</f>
        <v>Haití</v>
      </c>
      <c r="G214" s="9" t="str">
        <f ca="1">+WORLDCUP!BD58</f>
        <v>Corea del Sur</v>
      </c>
      <c r="H214" s="9" t="str">
        <f ca="1">+WORLDCUP!BD65</f>
        <v>Arabia Saudita</v>
      </c>
      <c r="I214" s="9" t="str">
        <f ca="1">+WORLDCUP!BD69</f>
        <v>Ghana</v>
      </c>
      <c r="J214" s="9" t="str">
        <f ca="1">+WORLDCUP!BD66</f>
        <v>Irak</v>
      </c>
      <c r="N214" s="16" t="s">
        <v>1035</v>
      </c>
      <c r="O214" s="16">
        <v>213</v>
      </c>
      <c r="P214" s="16" t="s">
        <v>94</v>
      </c>
      <c r="Q214" s="16" t="s">
        <v>445</v>
      </c>
      <c r="R214" s="16" t="s">
        <v>451</v>
      </c>
      <c r="S214" s="16" t="s">
        <v>92</v>
      </c>
      <c r="T214" s="16" t="s">
        <v>90</v>
      </c>
      <c r="U214" s="16" t="s">
        <v>446</v>
      </c>
      <c r="V214" s="16" t="s">
        <v>453</v>
      </c>
      <c r="W214" s="16" t="s">
        <v>450</v>
      </c>
    </row>
    <row r="215" spans="1:23" x14ac:dyDescent="0.2">
      <c r="A215" s="9" t="s">
        <v>1034</v>
      </c>
      <c r="B215" s="9">
        <f ca="1">+IF(A215=WORLDCUP!$BI$112,1,0)</f>
        <v>0</v>
      </c>
      <c r="C215" s="9" t="str">
        <f ca="1">+WORLDCUP!BD62</f>
        <v>Costa de Marfil</v>
      </c>
      <c r="D215" s="9" t="str">
        <f ca="1">+WORLDCUP!BD64</f>
        <v>Irán</v>
      </c>
      <c r="E215" s="9" t="str">
        <f ca="1">+WORLDCUP!BD67</f>
        <v>Austria</v>
      </c>
      <c r="F215" s="9" t="str">
        <f ca="1">+WORLDCUP!BD60</f>
        <v>Haití</v>
      </c>
      <c r="G215" s="9" t="str">
        <f ca="1">+WORLDCUP!BD58</f>
        <v>Corea del Sur</v>
      </c>
      <c r="H215" s="9" t="str">
        <f ca="1">+WORLDCUP!BD65</f>
        <v>Arabia Saudita</v>
      </c>
      <c r="I215" s="9" t="str">
        <f ca="1">+WORLDCUP!BD66</f>
        <v>Irak</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x14ac:dyDescent="0.2">
      <c r="A216" s="9" t="s">
        <v>1033</v>
      </c>
      <c r="B216" s="9">
        <f ca="1">+IF(A216=WORLDCUP!$BI$112,1,0)</f>
        <v>0</v>
      </c>
      <c r="C216" s="9" t="str">
        <f ca="1">+WORLDCUP!BD62</f>
        <v>Costa de Marfil</v>
      </c>
      <c r="D216" s="9" t="str">
        <f ca="1">+WORLDCUP!BD67</f>
        <v>Austria</v>
      </c>
      <c r="E216" s="9" t="str">
        <f ca="1">+WORLDCUP!BD66</f>
        <v>Irak</v>
      </c>
      <c r="F216" s="9" t="str">
        <f ca="1">+WORLDCUP!BD60</f>
        <v>Haití</v>
      </c>
      <c r="G216" s="9" t="str">
        <f ca="1">+WORLDCUP!BD58</f>
        <v>Corea del Sur</v>
      </c>
      <c r="H216" s="9" t="str">
        <f ca="1">+WORLDCUP!BD63</f>
        <v>Suecia</v>
      </c>
      <c r="I216" s="9" t="str">
        <f ca="1">+WORLDCUP!BD69</f>
        <v>Ghana</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x14ac:dyDescent="0.2">
      <c r="A217" s="9" t="s">
        <v>1032</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Corea del Sur</v>
      </c>
      <c r="H217" s="9" t="str">
        <f ca="1">+WORLDCUP!BD63</f>
        <v>Suecia</v>
      </c>
      <c r="I217" s="9" t="str">
        <f ca="1">+WORLDCUP!BD69</f>
        <v>Ghana</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x14ac:dyDescent="0.2">
      <c r="A218" s="9" t="s">
        <v>1031</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Corea del Sur</v>
      </c>
      <c r="H218" s="9" t="str">
        <f ca="1">+WORLDCUP!BD63</f>
        <v>Suecia</v>
      </c>
      <c r="I218" s="9" t="str">
        <f ca="1">+WORLDCUP!BD69</f>
        <v>Ghana</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x14ac:dyDescent="0.2">
      <c r="A219" s="9" t="s">
        <v>1030</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Corea del Sur</v>
      </c>
      <c r="H219" s="9" t="str">
        <f ca="1">+WORLDCUP!BD63</f>
        <v>Suecia</v>
      </c>
      <c r="I219" s="9" t="str">
        <f ca="1">+WORLDCUP!BD69</f>
        <v>Ghana</v>
      </c>
      <c r="J219" s="9" t="str">
        <f ca="1">+WORLDCUP!BD66</f>
        <v>Irak</v>
      </c>
      <c r="N219" s="16" t="s">
        <v>1030</v>
      </c>
      <c r="O219" s="16">
        <v>218</v>
      </c>
      <c r="P219" s="16" t="s">
        <v>446</v>
      </c>
      <c r="Q219" s="16" t="s">
        <v>451</v>
      </c>
      <c r="R219" s="16" t="s">
        <v>94</v>
      </c>
      <c r="S219" s="16" t="s">
        <v>92</v>
      </c>
      <c r="T219" s="16" t="s">
        <v>90</v>
      </c>
      <c r="U219" s="16" t="s">
        <v>95</v>
      </c>
      <c r="V219" s="16" t="s">
        <v>453</v>
      </c>
      <c r="W219" s="16" t="s">
        <v>450</v>
      </c>
    </row>
    <row r="220" spans="1:23" x14ac:dyDescent="0.2">
      <c r="A220" s="9" t="s">
        <v>1029</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Corea del Sur</v>
      </c>
      <c r="H220" s="9" t="str">
        <f ca="1">+WORLDCUP!BD63</f>
        <v>Suecia</v>
      </c>
      <c r="I220" s="9" t="str">
        <f ca="1">+WORLDCUP!BD66</f>
        <v>Irak</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x14ac:dyDescent="0.2">
      <c r="A221" s="9" t="s">
        <v>1028</v>
      </c>
      <c r="B221" s="9">
        <f ca="1">+IF(A221=WORLDCUP!$BI$112,1,0)</f>
        <v>0</v>
      </c>
      <c r="C221" s="9" t="str">
        <f ca="1">+WORLDCUP!BD62</f>
        <v>Costa de Marfil</v>
      </c>
      <c r="D221" s="9" t="str">
        <f ca="1">+WORLDCUP!BD64</f>
        <v>Irán</v>
      </c>
      <c r="E221" s="9" t="str">
        <f ca="1">+WORLDCUP!BD67</f>
        <v>Austria</v>
      </c>
      <c r="F221" s="9" t="str">
        <f ca="1">+WORLDCUP!BD60</f>
        <v>Haití</v>
      </c>
      <c r="G221" s="9" t="str">
        <f ca="1">+WORLDCUP!BD58</f>
        <v>Corea del Sur</v>
      </c>
      <c r="H221" s="9" t="str">
        <f ca="1">+WORLDCUP!BD63</f>
        <v>Suecia</v>
      </c>
      <c r="I221" s="9" t="str">
        <f ca="1">+WORLDCUP!BD69</f>
        <v>Ghana</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x14ac:dyDescent="0.2">
      <c r="A222" s="9" t="s">
        <v>1027</v>
      </c>
      <c r="B222" s="9">
        <f ca="1">+IF(A222=WORLDCUP!$BI$112,1,0)</f>
        <v>0</v>
      </c>
      <c r="C222" s="9" t="str">
        <f ca="1">+WORLDCUP!BD62</f>
        <v>Costa de Marfil</v>
      </c>
      <c r="D222" s="9" t="str">
        <f ca="1">+WORLDCUP!BD64</f>
        <v>Irán</v>
      </c>
      <c r="E222" s="9" t="str">
        <f ca="1">+WORLDCUP!BD66</f>
        <v>Irak</v>
      </c>
      <c r="F222" s="9" t="str">
        <f ca="1">+WORLDCUP!BD60</f>
        <v>Haití</v>
      </c>
      <c r="G222" s="9" t="str">
        <f ca="1">+WORLDCUP!BD58</f>
        <v>Corea del Sur</v>
      </c>
      <c r="H222" s="9" t="str">
        <f ca="1">+WORLDCUP!BD63</f>
        <v>Suecia</v>
      </c>
      <c r="I222" s="9" t="str">
        <f ca="1">+WORLDCUP!BD69</f>
        <v>Ghana</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x14ac:dyDescent="0.2">
      <c r="A223" s="9" t="s">
        <v>1026</v>
      </c>
      <c r="B223" s="9">
        <f ca="1">+IF(A223=WORLDCUP!$BI$112,1,0)</f>
        <v>0</v>
      </c>
      <c r="C223" s="9" t="str">
        <f ca="1">+WORLDCUP!BD62</f>
        <v>Costa de Marfil</v>
      </c>
      <c r="D223" s="9" t="str">
        <f ca="1">+WORLDCUP!BD64</f>
        <v>Irán</v>
      </c>
      <c r="E223" s="9" t="str">
        <f ca="1">+WORLDCUP!BD67</f>
        <v>Austria</v>
      </c>
      <c r="F223" s="9" t="str">
        <f ca="1">+WORLDCUP!BD60</f>
        <v>Haití</v>
      </c>
      <c r="G223" s="9" t="str">
        <f ca="1">+WORLDCUP!BD58</f>
        <v>Corea del Sur</v>
      </c>
      <c r="H223" s="9" t="str">
        <f ca="1">+WORLDCUP!BD63</f>
        <v>Suecia</v>
      </c>
      <c r="I223" s="9" t="str">
        <f ca="1">+WORLDCUP!BD69</f>
        <v>Ghana</v>
      </c>
      <c r="J223" s="9" t="str">
        <f ca="1">+WORLDCUP!BD66</f>
        <v>Irak</v>
      </c>
      <c r="N223" s="16" t="s">
        <v>1026</v>
      </c>
      <c r="O223" s="16">
        <v>222</v>
      </c>
      <c r="P223" s="16" t="s">
        <v>94</v>
      </c>
      <c r="Q223" s="16" t="s">
        <v>445</v>
      </c>
      <c r="R223" s="16" t="s">
        <v>451</v>
      </c>
      <c r="S223" s="16" t="s">
        <v>92</v>
      </c>
      <c r="T223" s="16" t="s">
        <v>90</v>
      </c>
      <c r="U223" s="16" t="s">
        <v>95</v>
      </c>
      <c r="V223" s="16" t="s">
        <v>453</v>
      </c>
      <c r="W223" s="16" t="s">
        <v>450</v>
      </c>
    </row>
    <row r="224" spans="1:23" x14ac:dyDescent="0.2">
      <c r="A224" s="9" t="s">
        <v>1025</v>
      </c>
      <c r="B224" s="9">
        <f ca="1">+IF(A224=WORLDCUP!$BI$112,1,0)</f>
        <v>0</v>
      </c>
      <c r="C224" s="9" t="str">
        <f ca="1">+WORLDCUP!BD62</f>
        <v>Costa de Marfil</v>
      </c>
      <c r="D224" s="9" t="str">
        <f ca="1">+WORLDCUP!BD64</f>
        <v>Irán</v>
      </c>
      <c r="E224" s="9" t="str">
        <f ca="1">+WORLDCUP!BD67</f>
        <v>Austria</v>
      </c>
      <c r="F224" s="9" t="str">
        <f ca="1">+WORLDCUP!BD60</f>
        <v>Haití</v>
      </c>
      <c r="G224" s="9" t="str">
        <f ca="1">+WORLDCUP!BD58</f>
        <v>Corea del Sur</v>
      </c>
      <c r="H224" s="9" t="str">
        <f ca="1">+WORLDCUP!BD63</f>
        <v>Suecia</v>
      </c>
      <c r="I224" s="9" t="str">
        <f ca="1">+WORLDCUP!BD66</f>
        <v>Irak</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x14ac:dyDescent="0.2">
      <c r="A225" s="9" t="s">
        <v>1024</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Corea del Sur</v>
      </c>
      <c r="H225" s="9" t="str">
        <f ca="1">+WORLDCUP!BD63</f>
        <v>Suecia</v>
      </c>
      <c r="I225" s="9" t="str">
        <f ca="1">+WORLDCUP!BD69</f>
        <v>Ghana</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x14ac:dyDescent="0.2">
      <c r="A226" s="9" t="s">
        <v>1023</v>
      </c>
      <c r="B226" s="9">
        <f ca="1">+IF(A226=WORLDCUP!$BI$112,1,0)</f>
        <v>0</v>
      </c>
      <c r="C226" s="9" t="str">
        <f ca="1">+WORLDCUP!BD65</f>
        <v>Arabia Saudita</v>
      </c>
      <c r="D226" s="9" t="str">
        <f ca="1">+WORLDCUP!BD64</f>
        <v>Irán</v>
      </c>
      <c r="E226" s="9" t="str">
        <f ca="1">+WORLDCUP!BD67</f>
        <v>Austria</v>
      </c>
      <c r="F226" s="9" t="str">
        <f ca="1">+WORLDCUP!BD60</f>
        <v>Haití</v>
      </c>
      <c r="G226" s="9" t="str">
        <f ca="1">+WORLDCUP!BD58</f>
        <v>Corea del Sur</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x14ac:dyDescent="0.2">
      <c r="A227" s="9" t="s">
        <v>1022</v>
      </c>
      <c r="B227" s="9">
        <f ca="1">+IF(A227=WORLDCUP!$BI$112,1,0)</f>
        <v>0</v>
      </c>
      <c r="C227" s="9" t="str">
        <f ca="1">+WORLDCUP!BD65</f>
        <v>Arabia Saudita</v>
      </c>
      <c r="D227" s="9" t="str">
        <f ca="1">+WORLDCUP!BD64</f>
        <v>Irán</v>
      </c>
      <c r="E227" s="9" t="str">
        <f ca="1">+WORLDCUP!BD67</f>
        <v>Austria</v>
      </c>
      <c r="F227" s="9" t="str">
        <f ca="1">+WORLDCUP!BD60</f>
        <v>Haití</v>
      </c>
      <c r="G227" s="9" t="str">
        <f ca="1">+WORLDCUP!BD58</f>
        <v>Corea del Sur</v>
      </c>
      <c r="H227" s="9" t="str">
        <f ca="1">+WORLDCUP!BD63</f>
        <v>Suecia</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x14ac:dyDescent="0.2">
      <c r="A228" s="9" t="s">
        <v>1021</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Corea del Sur</v>
      </c>
      <c r="H228" s="9" t="str">
        <f ca="1">+WORLDCUP!BD63</f>
        <v>Suecia</v>
      </c>
      <c r="I228" s="9" t="str">
        <f ca="1">+WORLDCUP!BD69</f>
        <v>Ghana</v>
      </c>
      <c r="J228" s="9" t="str">
        <f ca="1">+WORLDCUP!BD66</f>
        <v>Irak</v>
      </c>
      <c r="N228" s="16" t="s">
        <v>1021</v>
      </c>
      <c r="O228" s="16">
        <v>227</v>
      </c>
      <c r="P228" s="16" t="s">
        <v>446</v>
      </c>
      <c r="Q228" s="16" t="s">
        <v>445</v>
      </c>
      <c r="R228" s="16" t="s">
        <v>94</v>
      </c>
      <c r="S228" s="16" t="s">
        <v>92</v>
      </c>
      <c r="T228" s="16" t="s">
        <v>90</v>
      </c>
      <c r="U228" s="16" t="s">
        <v>95</v>
      </c>
      <c r="V228" s="16" t="s">
        <v>453</v>
      </c>
      <c r="W228" s="16" t="s">
        <v>450</v>
      </c>
    </row>
    <row r="229" spans="1:23" x14ac:dyDescent="0.2">
      <c r="A229" s="9" t="s">
        <v>1020</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Corea del Sur</v>
      </c>
      <c r="H229" s="9" t="str">
        <f ca="1">+WORLDCUP!BD63</f>
        <v>Suecia</v>
      </c>
      <c r="I229" s="9" t="str">
        <f ca="1">+WORLDCUP!BD66</f>
        <v>Irak</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x14ac:dyDescent="0.2">
      <c r="A230" s="9" t="s">
        <v>1019</v>
      </c>
      <c r="B230" s="9">
        <f ca="1">+IF(A230=WORLDCUP!$BI$112,1,0)</f>
        <v>0</v>
      </c>
      <c r="C230" s="9" t="str">
        <f ca="1">+WORLDCUP!BD65</f>
        <v>Arabia Saudita</v>
      </c>
      <c r="D230" s="9" t="str">
        <f ca="1">+WORLDCUP!BD64</f>
        <v>Irán</v>
      </c>
      <c r="E230" s="9" t="str">
        <f ca="1">+WORLDCUP!BD67</f>
        <v>Austria</v>
      </c>
      <c r="F230" s="9" t="str">
        <f ca="1">+WORLDCUP!BD60</f>
        <v>Haití</v>
      </c>
      <c r="G230" s="9" t="str">
        <f ca="1">+WORLDCUP!BD58</f>
        <v>Corea del Sur</v>
      </c>
      <c r="H230" s="9" t="str">
        <f ca="1">+WORLDCUP!BD63</f>
        <v>Suecia</v>
      </c>
      <c r="I230" s="9" t="str">
        <f ca="1">+WORLDCUP!BD62</f>
        <v>Costa de Marfil</v>
      </c>
      <c r="J230" s="9" t="str">
        <f ca="1">+WORLDCUP!BD66</f>
        <v>Irak</v>
      </c>
      <c r="N230" s="16" t="s">
        <v>1019</v>
      </c>
      <c r="O230" s="16">
        <v>229</v>
      </c>
      <c r="P230" s="16" t="s">
        <v>446</v>
      </c>
      <c r="Q230" s="16" t="s">
        <v>445</v>
      </c>
      <c r="R230" s="16" t="s">
        <v>451</v>
      </c>
      <c r="S230" s="16" t="s">
        <v>92</v>
      </c>
      <c r="T230" s="16" t="s">
        <v>90</v>
      </c>
      <c r="U230" s="16" t="s">
        <v>95</v>
      </c>
      <c r="V230" s="16" t="s">
        <v>94</v>
      </c>
      <c r="W230" s="16" t="s">
        <v>450</v>
      </c>
    </row>
    <row r="231" spans="1:23" x14ac:dyDescent="0.2">
      <c r="A231" s="9" t="s">
        <v>1018</v>
      </c>
      <c r="B231" s="9">
        <f ca="1">+IF(A231=WORLDCUP!$BI$112,1,0)</f>
        <v>0</v>
      </c>
      <c r="C231" s="9" t="str">
        <f ca="1">+WORLDCUP!BD65</f>
        <v>Arabia Saudita</v>
      </c>
      <c r="D231" s="9" t="str">
        <f ca="1">+WORLDCUP!BD67</f>
        <v>Austria</v>
      </c>
      <c r="E231" s="9" t="str">
        <f ca="1">+WORLDCUP!BD66</f>
        <v>Irak</v>
      </c>
      <c r="F231" s="9" t="str">
        <f ca="1">+WORLDCUP!BD60</f>
        <v>Haití</v>
      </c>
      <c r="G231" s="9" t="str">
        <f ca="1">+WORLDCUP!BD58</f>
        <v>Corea del Sur</v>
      </c>
      <c r="H231" s="9" t="str">
        <f ca="1">+WORLDCUP!BD61</f>
        <v>Australia</v>
      </c>
      <c r="I231" s="9" t="str">
        <f ca="1">+WORLDCUP!BD69</f>
        <v>Ghana</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x14ac:dyDescent="0.2">
      <c r="A232" s="9" t="s">
        <v>1017</v>
      </c>
      <c r="B232" s="9">
        <f ca="1">+IF(A232=WORLDCUP!$BI$112,1,0)</f>
        <v>0</v>
      </c>
      <c r="C232" s="9" t="str">
        <f ca="1">+WORLDCUP!BD66</f>
        <v>Irak</v>
      </c>
      <c r="D232" s="9" t="str">
        <f ca="1">+WORLDCUP!BD64</f>
        <v>Irán</v>
      </c>
      <c r="E232" s="9" t="str">
        <f ca="1">+WORLDCUP!BD67</f>
        <v>Austria</v>
      </c>
      <c r="F232" s="9" t="str">
        <f ca="1">+WORLDCUP!BD60</f>
        <v>Haití</v>
      </c>
      <c r="G232" s="9" t="str">
        <f ca="1">+WORLDCUP!BD58</f>
        <v>Corea del Sur</v>
      </c>
      <c r="H232" s="9" t="str">
        <f ca="1">+WORLDCUP!BD61</f>
        <v>Australia</v>
      </c>
      <c r="I232" s="9" t="str">
        <f ca="1">+WORLDCUP!BD69</f>
        <v>Ghana</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x14ac:dyDescent="0.2">
      <c r="A233" s="9" t="s">
        <v>1016</v>
      </c>
      <c r="B233" s="9">
        <f ca="1">+IF(A233=WORLDCUP!$BI$112,1,0)</f>
        <v>0</v>
      </c>
      <c r="C233" s="9" t="str">
        <f ca="1">+WORLDCUP!BD65</f>
        <v>Arabia Saudita</v>
      </c>
      <c r="D233" s="9" t="str">
        <f ca="1">+WORLDCUP!BD64</f>
        <v>Irán</v>
      </c>
      <c r="E233" s="9" t="str">
        <f ca="1">+WORLDCUP!BD67</f>
        <v>Austria</v>
      </c>
      <c r="F233" s="9" t="str">
        <f ca="1">+WORLDCUP!BD60</f>
        <v>Haití</v>
      </c>
      <c r="G233" s="9" t="str">
        <f ca="1">+WORLDCUP!BD58</f>
        <v>Corea del Sur</v>
      </c>
      <c r="H233" s="9" t="str">
        <f ca="1">+WORLDCUP!BD61</f>
        <v>Australia</v>
      </c>
      <c r="I233" s="9" t="str">
        <f ca="1">+WORLDCUP!BD69</f>
        <v>Ghana</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x14ac:dyDescent="0.2">
      <c r="A234" s="9" t="s">
        <v>1015</v>
      </c>
      <c r="B234" s="9">
        <f ca="1">+IF(A234=WORLDCUP!$BI$112,1,0)</f>
        <v>0</v>
      </c>
      <c r="C234" s="9" t="str">
        <f ca="1">+WORLDCUP!BD65</f>
        <v>Arabia Saudita</v>
      </c>
      <c r="D234" s="9" t="str">
        <f ca="1">+WORLDCUP!BD64</f>
        <v>Irán</v>
      </c>
      <c r="E234" s="9" t="str">
        <f ca="1">+WORLDCUP!BD66</f>
        <v>Irak</v>
      </c>
      <c r="F234" s="9" t="str">
        <f ca="1">+WORLDCUP!BD60</f>
        <v>Haití</v>
      </c>
      <c r="G234" s="9" t="str">
        <f ca="1">+WORLDCUP!BD58</f>
        <v>Corea del Sur</v>
      </c>
      <c r="H234" s="9" t="str">
        <f ca="1">+WORLDCUP!BD61</f>
        <v>Australia</v>
      </c>
      <c r="I234" s="9" t="str">
        <f ca="1">+WORLDCUP!BD69</f>
        <v>Ghana</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x14ac:dyDescent="0.2">
      <c r="A235" s="9" t="s">
        <v>1014</v>
      </c>
      <c r="B235" s="9">
        <f ca="1">+IF(A235=WORLDCUP!$BI$112,1,0)</f>
        <v>0</v>
      </c>
      <c r="C235" s="9" t="str">
        <f ca="1">+WORLDCUP!BD65</f>
        <v>Arabia Saudita</v>
      </c>
      <c r="D235" s="9" t="str">
        <f ca="1">+WORLDCUP!BD64</f>
        <v>Irán</v>
      </c>
      <c r="E235" s="9" t="str">
        <f ca="1">+WORLDCUP!BD67</f>
        <v>Austria</v>
      </c>
      <c r="F235" s="9" t="str">
        <f ca="1">+WORLDCUP!BD60</f>
        <v>Haití</v>
      </c>
      <c r="G235" s="9" t="str">
        <f ca="1">+WORLDCUP!BD58</f>
        <v>Corea del Sur</v>
      </c>
      <c r="H235" s="9" t="str">
        <f ca="1">+WORLDCUP!BD61</f>
        <v>Australia</v>
      </c>
      <c r="I235" s="9" t="str">
        <f ca="1">+WORLDCUP!BD69</f>
        <v>Ghana</v>
      </c>
      <c r="J235" s="9" t="str">
        <f ca="1">+WORLDCUP!BD66</f>
        <v>Irak</v>
      </c>
      <c r="N235" s="16" t="s">
        <v>1014</v>
      </c>
      <c r="O235" s="16">
        <v>234</v>
      </c>
      <c r="P235" s="16" t="s">
        <v>446</v>
      </c>
      <c r="Q235" s="16" t="s">
        <v>445</v>
      </c>
      <c r="R235" s="16" t="s">
        <v>451</v>
      </c>
      <c r="S235" s="16" t="s">
        <v>92</v>
      </c>
      <c r="T235" s="16" t="s">
        <v>90</v>
      </c>
      <c r="U235" s="16" t="s">
        <v>93</v>
      </c>
      <c r="V235" s="16" t="s">
        <v>453</v>
      </c>
      <c r="W235" s="16" t="s">
        <v>450</v>
      </c>
    </row>
    <row r="236" spans="1:23" x14ac:dyDescent="0.2">
      <c r="A236" s="9" t="s">
        <v>1013</v>
      </c>
      <c r="B236" s="9">
        <f ca="1">+IF(A236=WORLDCUP!$BI$112,1,0)</f>
        <v>0</v>
      </c>
      <c r="C236" s="9" t="str">
        <f ca="1">+WORLDCUP!BD65</f>
        <v>Arabia Saudita</v>
      </c>
      <c r="D236" s="9" t="str">
        <f ca="1">+WORLDCUP!BD64</f>
        <v>Irán</v>
      </c>
      <c r="E236" s="9" t="str">
        <f ca="1">+WORLDCUP!BD67</f>
        <v>Austria</v>
      </c>
      <c r="F236" s="9" t="str">
        <f ca="1">+WORLDCUP!BD60</f>
        <v>Haití</v>
      </c>
      <c r="G236" s="9" t="str">
        <f ca="1">+WORLDCUP!BD58</f>
        <v>Corea del Sur</v>
      </c>
      <c r="H236" s="9" t="str">
        <f ca="1">+WORLDCUP!BD61</f>
        <v>Australia</v>
      </c>
      <c r="I236" s="9" t="str">
        <f ca="1">+WORLDCUP!BD66</f>
        <v>Irak</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x14ac:dyDescent="0.2">
      <c r="A237" s="9" t="s">
        <v>1012</v>
      </c>
      <c r="B237" s="9">
        <f ca="1">+IF(A237=WORLDCUP!$BI$112,1,0)</f>
        <v>0</v>
      </c>
      <c r="C237" s="9" t="str">
        <f ca="1">+WORLDCUP!BD60</f>
        <v>Haití</v>
      </c>
      <c r="D237" s="9" t="str">
        <f ca="1">+WORLDCUP!BD67</f>
        <v>Austria</v>
      </c>
      <c r="E237" s="9" t="str">
        <f ca="1">+WORLDCUP!BD66</f>
        <v>Irak</v>
      </c>
      <c r="F237" s="9" t="str">
        <f ca="1">+WORLDCUP!BD61</f>
        <v>Australia</v>
      </c>
      <c r="G237" s="9" t="str">
        <f ca="1">+WORLDCUP!BD58</f>
        <v>Corea del Sur</v>
      </c>
      <c r="H237" s="9" t="str">
        <f ca="1">+WORLDCUP!BD63</f>
        <v>Suecia</v>
      </c>
      <c r="I237" s="9" t="str">
        <f ca="1">+WORLDCUP!BD69</f>
        <v>Ghana</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x14ac:dyDescent="0.2">
      <c r="A238" s="9" t="s">
        <v>1011</v>
      </c>
      <c r="B238" s="9">
        <f ca="1">+IF(A238=WORLDCUP!$BI$112,1,0)</f>
        <v>0</v>
      </c>
      <c r="C238" s="9" t="str">
        <f ca="1">+WORLDCUP!BD65</f>
        <v>Arabia Saudita</v>
      </c>
      <c r="D238" s="9" t="str">
        <f ca="1">+WORLDCUP!BD67</f>
        <v>Austria</v>
      </c>
      <c r="E238" s="9" t="str">
        <f ca="1">+WORLDCUP!BD63</f>
        <v>Suecia</v>
      </c>
      <c r="F238" s="9" t="str">
        <f ca="1">+WORLDCUP!BD60</f>
        <v>Haití</v>
      </c>
      <c r="G238" s="9" t="str">
        <f ca="1">+WORLDCUP!BD58</f>
        <v>Corea del Sur</v>
      </c>
      <c r="H238" s="9" t="str">
        <f ca="1">+WORLDCUP!BD61</f>
        <v>Australia</v>
      </c>
      <c r="I238" s="9" t="str">
        <f ca="1">+WORLDCUP!BD69</f>
        <v>Ghana</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x14ac:dyDescent="0.2">
      <c r="A239" s="9" t="s">
        <v>1010</v>
      </c>
      <c r="B239" s="9">
        <f ca="1">+IF(A239=WORLDCUP!$BI$112,1,0)</f>
        <v>0</v>
      </c>
      <c r="C239" s="9" t="str">
        <f ca="1">+WORLDCUP!BD65</f>
        <v>Arabia Saudita</v>
      </c>
      <c r="D239" s="9" t="str">
        <f ca="1">+WORLDCUP!BD63</f>
        <v>Suecia</v>
      </c>
      <c r="E239" s="9" t="str">
        <f ca="1">+WORLDCUP!BD66</f>
        <v>Irak</v>
      </c>
      <c r="F239" s="9" t="str">
        <f ca="1">+WORLDCUP!BD60</f>
        <v>Haití</v>
      </c>
      <c r="G239" s="9" t="str">
        <f ca="1">+WORLDCUP!BD58</f>
        <v>Corea del Sur</v>
      </c>
      <c r="H239" s="9" t="str">
        <f ca="1">+WORLDCUP!BD61</f>
        <v>Australia</v>
      </c>
      <c r="I239" s="9" t="str">
        <f ca="1">+WORLDCUP!BD69</f>
        <v>Ghana</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x14ac:dyDescent="0.2">
      <c r="A240" s="9" t="s">
        <v>1009</v>
      </c>
      <c r="B240" s="9">
        <f ca="1">+IF(A240=WORLDCUP!$BI$112,1,0)</f>
        <v>0</v>
      </c>
      <c r="C240" s="9" t="str">
        <f ca="1">+WORLDCUP!BD65</f>
        <v>Arabia Saudita</v>
      </c>
      <c r="D240" s="9" t="str">
        <f ca="1">+WORLDCUP!BD67</f>
        <v>Austria</v>
      </c>
      <c r="E240" s="9" t="str">
        <f ca="1">+WORLDCUP!BD63</f>
        <v>Suecia</v>
      </c>
      <c r="F240" s="9" t="str">
        <f ca="1">+WORLDCUP!BD60</f>
        <v>Haití</v>
      </c>
      <c r="G240" s="9" t="str">
        <f ca="1">+WORLDCUP!BD58</f>
        <v>Corea del Sur</v>
      </c>
      <c r="H240" s="9" t="str">
        <f ca="1">+WORLDCUP!BD61</f>
        <v>Australia</v>
      </c>
      <c r="I240" s="9" t="str">
        <f ca="1">+WORLDCUP!BD69</f>
        <v>Ghana</v>
      </c>
      <c r="J240" s="9" t="str">
        <f ca="1">+WORLDCUP!BD66</f>
        <v>Irak</v>
      </c>
      <c r="N240" s="16" t="s">
        <v>1009</v>
      </c>
      <c r="O240" s="16">
        <v>239</v>
      </c>
      <c r="P240" s="16" t="s">
        <v>446</v>
      </c>
      <c r="Q240" s="16" t="s">
        <v>451</v>
      </c>
      <c r="R240" s="16" t="s">
        <v>95</v>
      </c>
      <c r="S240" s="16" t="s">
        <v>92</v>
      </c>
      <c r="T240" s="16" t="s">
        <v>90</v>
      </c>
      <c r="U240" s="16" t="s">
        <v>93</v>
      </c>
      <c r="V240" s="16" t="s">
        <v>453</v>
      </c>
      <c r="W240" s="16" t="s">
        <v>450</v>
      </c>
    </row>
    <row r="241" spans="1:23" x14ac:dyDescent="0.2">
      <c r="A241" s="9" t="s">
        <v>1008</v>
      </c>
      <c r="B241" s="9">
        <f ca="1">+IF(A241=WORLDCUP!$BI$112,1,0)</f>
        <v>0</v>
      </c>
      <c r="C241" s="9" t="str">
        <f ca="1">+WORLDCUP!BD65</f>
        <v>Arabia Saudita</v>
      </c>
      <c r="D241" s="9" t="str">
        <f ca="1">+WORLDCUP!BD67</f>
        <v>Austria</v>
      </c>
      <c r="E241" s="9" t="str">
        <f ca="1">+WORLDCUP!BD63</f>
        <v>Suecia</v>
      </c>
      <c r="F241" s="9" t="str">
        <f ca="1">+WORLDCUP!BD60</f>
        <v>Haití</v>
      </c>
      <c r="G241" s="9" t="str">
        <f ca="1">+WORLDCUP!BD58</f>
        <v>Corea del Sur</v>
      </c>
      <c r="H241" s="9" t="str">
        <f ca="1">+WORLDCUP!BD61</f>
        <v>Australia</v>
      </c>
      <c r="I241" s="9" t="str">
        <f ca="1">+WORLDCUP!BD66</f>
        <v>Irak</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x14ac:dyDescent="0.2">
      <c r="A242" s="9" t="s">
        <v>1007</v>
      </c>
      <c r="B242" s="9">
        <f ca="1">+IF(A242=WORLDCUP!$BI$112,1,0)</f>
        <v>0</v>
      </c>
      <c r="C242" s="9" t="str">
        <f ca="1">+WORLDCUP!BD60</f>
        <v>Haití</v>
      </c>
      <c r="D242" s="9" t="str">
        <f ca="1">+WORLDCUP!BD64</f>
        <v>Irán</v>
      </c>
      <c r="E242" s="9" t="str">
        <f ca="1">+WORLDCUP!BD67</f>
        <v>Austria</v>
      </c>
      <c r="F242" s="9" t="str">
        <f ca="1">+WORLDCUP!BD61</f>
        <v>Australia</v>
      </c>
      <c r="G242" s="9" t="str">
        <f ca="1">+WORLDCUP!BD58</f>
        <v>Corea del Sur</v>
      </c>
      <c r="H242" s="9" t="str">
        <f ca="1">+WORLDCUP!BD63</f>
        <v>Suecia</v>
      </c>
      <c r="I242" s="9" t="str">
        <f ca="1">+WORLDCUP!BD69</f>
        <v>Ghana</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x14ac:dyDescent="0.2">
      <c r="A243" s="9" t="s">
        <v>1006</v>
      </c>
      <c r="B243" s="9">
        <f ca="1">+IF(A243=WORLDCUP!$BI$112,1,0)</f>
        <v>0</v>
      </c>
      <c r="C243" s="9" t="str">
        <f ca="1">+WORLDCUP!BD60</f>
        <v>Haití</v>
      </c>
      <c r="D243" s="9" t="str">
        <f ca="1">+WORLDCUP!BD64</f>
        <v>Irán</v>
      </c>
      <c r="E243" s="9" t="str">
        <f ca="1">+WORLDCUP!BD66</f>
        <v>Irak</v>
      </c>
      <c r="F243" s="9" t="str">
        <f ca="1">+WORLDCUP!BD61</f>
        <v>Australia</v>
      </c>
      <c r="G243" s="9" t="str">
        <f ca="1">+WORLDCUP!BD58</f>
        <v>Corea del Sur</v>
      </c>
      <c r="H243" s="9" t="str">
        <f ca="1">+WORLDCUP!BD63</f>
        <v>Suecia</v>
      </c>
      <c r="I243" s="9" t="str">
        <f ca="1">+WORLDCUP!BD69</f>
        <v>Ghana</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x14ac:dyDescent="0.2">
      <c r="A244" s="9" t="s">
        <v>1005</v>
      </c>
      <c r="B244" s="9">
        <f ca="1">+IF(A244=WORLDCUP!$BI$112,1,0)</f>
        <v>0</v>
      </c>
      <c r="C244" s="9" t="str">
        <f ca="1">+WORLDCUP!BD60</f>
        <v>Haití</v>
      </c>
      <c r="D244" s="9" t="str">
        <f ca="1">+WORLDCUP!BD64</f>
        <v>Irán</v>
      </c>
      <c r="E244" s="9" t="str">
        <f ca="1">+WORLDCUP!BD67</f>
        <v>Austria</v>
      </c>
      <c r="F244" s="9" t="str">
        <f ca="1">+WORLDCUP!BD61</f>
        <v>Australia</v>
      </c>
      <c r="G244" s="9" t="str">
        <f ca="1">+WORLDCUP!BD58</f>
        <v>Corea del Sur</v>
      </c>
      <c r="H244" s="9" t="str">
        <f ca="1">+WORLDCUP!BD63</f>
        <v>Suecia</v>
      </c>
      <c r="I244" s="9" t="str">
        <f ca="1">+WORLDCUP!BD69</f>
        <v>Ghana</v>
      </c>
      <c r="J244" s="9" t="str">
        <f ca="1">+WORLDCUP!BD66</f>
        <v>Irak</v>
      </c>
      <c r="N244" s="16" t="s">
        <v>1005</v>
      </c>
      <c r="O244" s="16">
        <v>243</v>
      </c>
      <c r="P244" s="16" t="s">
        <v>92</v>
      </c>
      <c r="Q244" s="16" t="s">
        <v>445</v>
      </c>
      <c r="R244" s="16" t="s">
        <v>451</v>
      </c>
      <c r="S244" s="16" t="s">
        <v>93</v>
      </c>
      <c r="T244" s="16" t="s">
        <v>90</v>
      </c>
      <c r="U244" s="16" t="s">
        <v>95</v>
      </c>
      <c r="V244" s="16" t="s">
        <v>453</v>
      </c>
      <c r="W244" s="16" t="s">
        <v>450</v>
      </c>
    </row>
    <row r="245" spans="1:23" x14ac:dyDescent="0.2">
      <c r="A245" s="9" t="s">
        <v>1004</v>
      </c>
      <c r="B245" s="9">
        <f ca="1">+IF(A245=WORLDCUP!$BI$112,1,0)</f>
        <v>0</v>
      </c>
      <c r="C245" s="9" t="str">
        <f ca="1">+WORLDCUP!BD60</f>
        <v>Haití</v>
      </c>
      <c r="D245" s="9" t="str">
        <f ca="1">+WORLDCUP!BD64</f>
        <v>Irán</v>
      </c>
      <c r="E245" s="9" t="str">
        <f ca="1">+WORLDCUP!BD67</f>
        <v>Austria</v>
      </c>
      <c r="F245" s="9" t="str">
        <f ca="1">+WORLDCUP!BD61</f>
        <v>Australia</v>
      </c>
      <c r="G245" s="9" t="str">
        <f ca="1">+WORLDCUP!BD58</f>
        <v>Corea del Sur</v>
      </c>
      <c r="H245" s="9" t="str">
        <f ca="1">+WORLDCUP!BD63</f>
        <v>Suecia</v>
      </c>
      <c r="I245" s="9" t="str">
        <f ca="1">+WORLDCUP!BD66</f>
        <v>Irak</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x14ac:dyDescent="0.2">
      <c r="A246" s="9" t="s">
        <v>1003</v>
      </c>
      <c r="B246" s="9">
        <f ca="1">+IF(A246=WORLDCUP!$BI$112,1,0)</f>
        <v>0</v>
      </c>
      <c r="C246" s="9" t="str">
        <f ca="1">+WORLDCUP!BD65</f>
        <v>Arabia Saudita</v>
      </c>
      <c r="D246" s="9" t="str">
        <f ca="1">+WORLDCUP!BD64</f>
        <v>Irán</v>
      </c>
      <c r="E246" s="9" t="str">
        <f ca="1">+WORLDCUP!BD63</f>
        <v>Suecia</v>
      </c>
      <c r="F246" s="9" t="str">
        <f ca="1">+WORLDCUP!BD60</f>
        <v>Haití</v>
      </c>
      <c r="G246" s="9" t="str">
        <f ca="1">+WORLDCUP!BD58</f>
        <v>Corea del Sur</v>
      </c>
      <c r="H246" s="9" t="str">
        <f ca="1">+WORLDCUP!BD61</f>
        <v>Australia</v>
      </c>
      <c r="I246" s="9" t="str">
        <f ca="1">+WORLDCUP!BD69</f>
        <v>Ghana</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x14ac:dyDescent="0.2">
      <c r="A247" s="9" t="s">
        <v>1002</v>
      </c>
      <c r="B247" s="9">
        <f ca="1">+IF(A247=WORLDCUP!$BI$112,1,0)</f>
        <v>0</v>
      </c>
      <c r="C247" s="9" t="str">
        <f ca="1">+WORLDCUP!BD60</f>
        <v>Haití</v>
      </c>
      <c r="D247" s="9" t="str">
        <f ca="1">+WORLDCUP!BD64</f>
        <v>Irán</v>
      </c>
      <c r="E247" s="9" t="str">
        <f ca="1">+WORLDCUP!BD67</f>
        <v>Austria</v>
      </c>
      <c r="F247" s="9" t="str">
        <f ca="1">+WORLDCUP!BD61</f>
        <v>Australia</v>
      </c>
      <c r="G247" s="9" t="str">
        <f ca="1">+WORLDCUP!BD58</f>
        <v>Corea del Sur</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x14ac:dyDescent="0.2">
      <c r="A248" s="9" t="s">
        <v>1001</v>
      </c>
      <c r="B248" s="9">
        <f ca="1">+IF(A248=WORLDCUP!$BI$112,1,0)</f>
        <v>0</v>
      </c>
      <c r="C248" s="9" t="str">
        <f ca="1">+WORLDCUP!BD65</f>
        <v>Arabia Saudita</v>
      </c>
      <c r="D248" s="9" t="str">
        <f ca="1">+WORLDCUP!BD64</f>
        <v>Irán</v>
      </c>
      <c r="E248" s="9" t="str">
        <f ca="1">+WORLDCUP!BD67</f>
        <v>Austria</v>
      </c>
      <c r="F248" s="9" t="str">
        <f ca="1">+WORLDCUP!BD60</f>
        <v>Haití</v>
      </c>
      <c r="G248" s="9" t="str">
        <f ca="1">+WORLDCUP!BD58</f>
        <v>Corea del Sur</v>
      </c>
      <c r="H248" s="9" t="str">
        <f ca="1">+WORLDCUP!BD63</f>
        <v>Suecia</v>
      </c>
      <c r="I248" s="9" t="str">
        <f ca="1">+WORLDCUP!BD61</f>
        <v>Australia</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x14ac:dyDescent="0.2">
      <c r="A249" s="9" t="s">
        <v>1000</v>
      </c>
      <c r="B249" s="9">
        <f ca="1">+IF(A249=WORLDCUP!$BI$112,1,0)</f>
        <v>0</v>
      </c>
      <c r="C249" s="9" t="str">
        <f ca="1">+WORLDCUP!BD65</f>
        <v>Arabia Saudita</v>
      </c>
      <c r="D249" s="9" t="str">
        <f ca="1">+WORLDCUP!BD64</f>
        <v>Irán</v>
      </c>
      <c r="E249" s="9" t="str">
        <f ca="1">+WORLDCUP!BD63</f>
        <v>Suecia</v>
      </c>
      <c r="F249" s="9" t="str">
        <f ca="1">+WORLDCUP!BD60</f>
        <v>Haití</v>
      </c>
      <c r="G249" s="9" t="str">
        <f ca="1">+WORLDCUP!BD58</f>
        <v>Corea del Sur</v>
      </c>
      <c r="H249" s="9" t="str">
        <f ca="1">+WORLDCUP!BD61</f>
        <v>Australia</v>
      </c>
      <c r="I249" s="9" t="str">
        <f ca="1">+WORLDCUP!BD69</f>
        <v>Ghana</v>
      </c>
      <c r="J249" s="9" t="str">
        <f ca="1">+WORLDCUP!BD66</f>
        <v>Irak</v>
      </c>
      <c r="N249" s="16" t="s">
        <v>1000</v>
      </c>
      <c r="O249" s="16">
        <v>248</v>
      </c>
      <c r="P249" s="16" t="s">
        <v>446</v>
      </c>
      <c r="Q249" s="16" t="s">
        <v>445</v>
      </c>
      <c r="R249" s="16" t="s">
        <v>95</v>
      </c>
      <c r="S249" s="16" t="s">
        <v>92</v>
      </c>
      <c r="T249" s="16" t="s">
        <v>90</v>
      </c>
      <c r="U249" s="16" t="s">
        <v>93</v>
      </c>
      <c r="V249" s="16" t="s">
        <v>453</v>
      </c>
      <c r="W249" s="16" t="s">
        <v>450</v>
      </c>
    </row>
    <row r="250" spans="1:23" x14ac:dyDescent="0.2">
      <c r="A250" s="9" t="s">
        <v>999</v>
      </c>
      <c r="B250" s="9">
        <f ca="1">+IF(A250=WORLDCUP!$BI$112,1,0)</f>
        <v>0</v>
      </c>
      <c r="C250" s="9" t="str">
        <f ca="1">+WORLDCUP!BD65</f>
        <v>Arabia Saudita</v>
      </c>
      <c r="D250" s="9" t="str">
        <f ca="1">+WORLDCUP!BD64</f>
        <v>Irán</v>
      </c>
      <c r="E250" s="9" t="str">
        <f ca="1">+WORLDCUP!BD63</f>
        <v>Suecia</v>
      </c>
      <c r="F250" s="9" t="str">
        <f ca="1">+WORLDCUP!BD60</f>
        <v>Haití</v>
      </c>
      <c r="G250" s="9" t="str">
        <f ca="1">+WORLDCUP!BD58</f>
        <v>Corea del Sur</v>
      </c>
      <c r="H250" s="9" t="str">
        <f ca="1">+WORLDCUP!BD61</f>
        <v>Australia</v>
      </c>
      <c r="I250" s="9" t="str">
        <f ca="1">+WORLDCUP!BD66</f>
        <v>Irak</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x14ac:dyDescent="0.2">
      <c r="A251" s="9" t="s">
        <v>998</v>
      </c>
      <c r="B251" s="9">
        <f ca="1">+IF(A251=WORLDCUP!$BI$112,1,0)</f>
        <v>0</v>
      </c>
      <c r="C251" s="9" t="str">
        <f ca="1">+WORLDCUP!BD65</f>
        <v>Arabia Saudita</v>
      </c>
      <c r="D251" s="9" t="str">
        <f ca="1">+WORLDCUP!BD64</f>
        <v>Irán</v>
      </c>
      <c r="E251" s="9" t="str">
        <f ca="1">+WORLDCUP!BD67</f>
        <v>Austria</v>
      </c>
      <c r="F251" s="9" t="str">
        <f ca="1">+WORLDCUP!BD60</f>
        <v>Haití</v>
      </c>
      <c r="G251" s="9" t="str">
        <f ca="1">+WORLDCUP!BD58</f>
        <v>Corea del Sur</v>
      </c>
      <c r="H251" s="9" t="str">
        <f ca="1">+WORLDCUP!BD63</f>
        <v>Suecia</v>
      </c>
      <c r="I251" s="9" t="str">
        <f ca="1">+WORLDCUP!BD61</f>
        <v>Australia</v>
      </c>
      <c r="J251" s="9" t="str">
        <f ca="1">+WORLDCUP!BD66</f>
        <v>Irak</v>
      </c>
      <c r="N251" s="16" t="s">
        <v>998</v>
      </c>
      <c r="O251" s="16">
        <v>250</v>
      </c>
      <c r="P251" s="16" t="s">
        <v>446</v>
      </c>
      <c r="Q251" s="16" t="s">
        <v>445</v>
      </c>
      <c r="R251" s="16" t="s">
        <v>451</v>
      </c>
      <c r="S251" s="16" t="s">
        <v>92</v>
      </c>
      <c r="T251" s="16" t="s">
        <v>90</v>
      </c>
      <c r="U251" s="16" t="s">
        <v>95</v>
      </c>
      <c r="V251" s="16" t="s">
        <v>93</v>
      </c>
      <c r="W251" s="16" t="s">
        <v>450</v>
      </c>
    </row>
    <row r="252" spans="1:23" x14ac:dyDescent="0.2">
      <c r="A252" s="9" t="s">
        <v>997</v>
      </c>
      <c r="B252" s="9">
        <f ca="1">+IF(A252=WORLDCUP!$BI$112,1,0)</f>
        <v>0</v>
      </c>
      <c r="C252" s="9" t="str">
        <f ca="1">+WORLDCUP!BD62</f>
        <v>Costa de Marfil</v>
      </c>
      <c r="D252" s="9" t="str">
        <f ca="1">+WORLDCUP!BD67</f>
        <v>Austria</v>
      </c>
      <c r="E252" s="9" t="str">
        <f ca="1">+WORLDCUP!BD66</f>
        <v>Irak</v>
      </c>
      <c r="F252" s="9" t="str">
        <f ca="1">+WORLDCUP!BD60</f>
        <v>Haití</v>
      </c>
      <c r="G252" s="9" t="str">
        <f ca="1">+WORLDCUP!BD58</f>
        <v>Corea del Sur</v>
      </c>
      <c r="H252" s="9" t="str">
        <f ca="1">+WORLDCUP!BD61</f>
        <v>Australia</v>
      </c>
      <c r="I252" s="9" t="str">
        <f ca="1">+WORLDCUP!BD69</f>
        <v>Ghana</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x14ac:dyDescent="0.2">
      <c r="A253" s="9" t="s">
        <v>996</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Corea del Sur</v>
      </c>
      <c r="H253" s="9" t="str">
        <f ca="1">+WORLDCUP!BD61</f>
        <v>Australia</v>
      </c>
      <c r="I253" s="9" t="str">
        <f ca="1">+WORLDCUP!BD69</f>
        <v>Ghana</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x14ac:dyDescent="0.2">
      <c r="A254" s="9" t="s">
        <v>995</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Corea del Sur</v>
      </c>
      <c r="H254" s="9" t="str">
        <f ca="1">+WORLDCUP!BD61</f>
        <v>Australia</v>
      </c>
      <c r="I254" s="9" t="str">
        <f ca="1">+WORLDCUP!BD69</f>
        <v>Ghana</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x14ac:dyDescent="0.2">
      <c r="A255" s="9" t="s">
        <v>994</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Corea del Sur</v>
      </c>
      <c r="H255" s="9" t="str">
        <f ca="1">+WORLDCUP!BD61</f>
        <v>Australia</v>
      </c>
      <c r="I255" s="9" t="str">
        <f ca="1">+WORLDCUP!BD69</f>
        <v>Ghana</v>
      </c>
      <c r="J255" s="9" t="str">
        <f ca="1">+WORLDCUP!BD66</f>
        <v>Irak</v>
      </c>
      <c r="N255" s="16" t="s">
        <v>994</v>
      </c>
      <c r="O255" s="16">
        <v>254</v>
      </c>
      <c r="P255" s="16" t="s">
        <v>446</v>
      </c>
      <c r="Q255" s="16" t="s">
        <v>451</v>
      </c>
      <c r="R255" s="16" t="s">
        <v>94</v>
      </c>
      <c r="S255" s="16" t="s">
        <v>92</v>
      </c>
      <c r="T255" s="16" t="s">
        <v>90</v>
      </c>
      <c r="U255" s="16" t="s">
        <v>93</v>
      </c>
      <c r="V255" s="16" t="s">
        <v>453</v>
      </c>
      <c r="W255" s="16" t="s">
        <v>450</v>
      </c>
    </row>
    <row r="256" spans="1:23" x14ac:dyDescent="0.2">
      <c r="A256" s="9" t="s">
        <v>993</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Corea del Sur</v>
      </c>
      <c r="H256" s="9" t="str">
        <f ca="1">+WORLDCUP!BD61</f>
        <v>Australia</v>
      </c>
      <c r="I256" s="9" t="str">
        <f ca="1">+WORLDCUP!BD66</f>
        <v>Irak</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x14ac:dyDescent="0.2">
      <c r="A257" s="9" t="s">
        <v>992</v>
      </c>
      <c r="B257" s="9">
        <f ca="1">+IF(A257=WORLDCUP!$BI$112,1,0)</f>
        <v>0</v>
      </c>
      <c r="C257" s="9" t="str">
        <f ca="1">+WORLDCUP!BD62</f>
        <v>Costa de Marfil</v>
      </c>
      <c r="D257" s="9" t="str">
        <f ca="1">+WORLDCUP!BD64</f>
        <v>Irán</v>
      </c>
      <c r="E257" s="9" t="str">
        <f ca="1">+WORLDCUP!BD67</f>
        <v>Austria</v>
      </c>
      <c r="F257" s="9" t="str">
        <f ca="1">+WORLDCUP!BD60</f>
        <v>Haití</v>
      </c>
      <c r="G257" s="9" t="str">
        <f ca="1">+WORLDCUP!BD58</f>
        <v>Corea del Sur</v>
      </c>
      <c r="H257" s="9" t="str">
        <f ca="1">+WORLDCUP!BD61</f>
        <v>Australia</v>
      </c>
      <c r="I257" s="9" t="str">
        <f ca="1">+WORLDCUP!BD69</f>
        <v>Ghana</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x14ac:dyDescent="0.2">
      <c r="A258" s="9" t="s">
        <v>991</v>
      </c>
      <c r="B258" s="9">
        <f ca="1">+IF(A258=WORLDCUP!$BI$112,1,0)</f>
        <v>0</v>
      </c>
      <c r="C258" s="9" t="str">
        <f ca="1">+WORLDCUP!BD62</f>
        <v>Costa de Marfil</v>
      </c>
      <c r="D258" s="9" t="str">
        <f ca="1">+WORLDCUP!BD64</f>
        <v>Irán</v>
      </c>
      <c r="E258" s="9" t="str">
        <f ca="1">+WORLDCUP!BD66</f>
        <v>Irak</v>
      </c>
      <c r="F258" s="9" t="str">
        <f ca="1">+WORLDCUP!BD60</f>
        <v>Haití</v>
      </c>
      <c r="G258" s="9" t="str">
        <f ca="1">+WORLDCUP!BD58</f>
        <v>Corea del Sur</v>
      </c>
      <c r="H258" s="9" t="str">
        <f ca="1">+WORLDCUP!BD61</f>
        <v>Australia</v>
      </c>
      <c r="I258" s="9" t="str">
        <f ca="1">+WORLDCUP!BD69</f>
        <v>Ghana</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x14ac:dyDescent="0.2">
      <c r="A259" s="9" t="s">
        <v>990</v>
      </c>
      <c r="B259" s="9">
        <f ca="1">+IF(A259=WORLDCUP!$BI$112,1,0)</f>
        <v>0</v>
      </c>
      <c r="C259" s="9" t="str">
        <f ca="1">+WORLDCUP!BD62</f>
        <v>Costa de Marfil</v>
      </c>
      <c r="D259" s="9" t="str">
        <f ca="1">+WORLDCUP!BD64</f>
        <v>Irán</v>
      </c>
      <c r="E259" s="9" t="str">
        <f ca="1">+WORLDCUP!BD67</f>
        <v>Austria</v>
      </c>
      <c r="F259" s="9" t="str">
        <f ca="1">+WORLDCUP!BD60</f>
        <v>Haití</v>
      </c>
      <c r="G259" s="9" t="str">
        <f ca="1">+WORLDCUP!BD58</f>
        <v>Corea del Sur</v>
      </c>
      <c r="H259" s="9" t="str">
        <f ca="1">+WORLDCUP!BD61</f>
        <v>Australia</v>
      </c>
      <c r="I259" s="9" t="str">
        <f ca="1">+WORLDCUP!BD69</f>
        <v>Ghana</v>
      </c>
      <c r="J259" s="9" t="str">
        <f ca="1">+WORLDCUP!BD66</f>
        <v>Irak</v>
      </c>
      <c r="N259" s="16" t="s">
        <v>990</v>
      </c>
      <c r="O259" s="16">
        <v>258</v>
      </c>
      <c r="P259" s="16" t="s">
        <v>94</v>
      </c>
      <c r="Q259" s="16" t="s">
        <v>445</v>
      </c>
      <c r="R259" s="16" t="s">
        <v>451</v>
      </c>
      <c r="S259" s="16" t="s">
        <v>92</v>
      </c>
      <c r="T259" s="16" t="s">
        <v>90</v>
      </c>
      <c r="U259" s="16" t="s">
        <v>93</v>
      </c>
      <c r="V259" s="16" t="s">
        <v>453</v>
      </c>
      <c r="W259" s="16" t="s">
        <v>450</v>
      </c>
    </row>
    <row r="260" spans="1:23" x14ac:dyDescent="0.2">
      <c r="A260" s="9" t="s">
        <v>989</v>
      </c>
      <c r="B260" s="9">
        <f ca="1">+IF(A260=WORLDCUP!$BI$112,1,0)</f>
        <v>0</v>
      </c>
      <c r="C260" s="9" t="str">
        <f ca="1">+WORLDCUP!BD62</f>
        <v>Costa de Marfil</v>
      </c>
      <c r="D260" s="9" t="str">
        <f ca="1">+WORLDCUP!BD64</f>
        <v>Irán</v>
      </c>
      <c r="E260" s="9" t="str">
        <f ca="1">+WORLDCUP!BD67</f>
        <v>Austria</v>
      </c>
      <c r="F260" s="9" t="str">
        <f ca="1">+WORLDCUP!BD60</f>
        <v>Haití</v>
      </c>
      <c r="G260" s="9" t="str">
        <f ca="1">+WORLDCUP!BD58</f>
        <v>Corea del Sur</v>
      </c>
      <c r="H260" s="9" t="str">
        <f ca="1">+WORLDCUP!BD61</f>
        <v>Australia</v>
      </c>
      <c r="I260" s="9" t="str">
        <f ca="1">+WORLDCUP!BD66</f>
        <v>Irak</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x14ac:dyDescent="0.2">
      <c r="A261" s="9" t="s">
        <v>988</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Corea del Sur</v>
      </c>
      <c r="H261" s="9" t="str">
        <f ca="1">+WORLDCUP!BD61</f>
        <v>Australia</v>
      </c>
      <c r="I261" s="9" t="str">
        <f ca="1">+WORLDCUP!BD69</f>
        <v>Ghana</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x14ac:dyDescent="0.2">
      <c r="A262" s="9" t="s">
        <v>987</v>
      </c>
      <c r="B262" s="9">
        <f ca="1">+IF(A262=WORLDCUP!$BI$112,1,0)</f>
        <v>0</v>
      </c>
      <c r="C262" s="9" t="str">
        <f ca="1">+WORLDCUP!BD65</f>
        <v>Arabia Saudita</v>
      </c>
      <c r="D262" s="9" t="str">
        <f ca="1">+WORLDCUP!BD64</f>
        <v>Irán</v>
      </c>
      <c r="E262" s="9" t="str">
        <f ca="1">+WORLDCUP!BD67</f>
        <v>Austria</v>
      </c>
      <c r="F262" s="9" t="str">
        <f ca="1">+WORLDCUP!BD60</f>
        <v>Haití</v>
      </c>
      <c r="G262" s="9" t="str">
        <f ca="1">+WORLDCUP!BD58</f>
        <v>Corea del Sur</v>
      </c>
      <c r="H262" s="9" t="str">
        <f ca="1">+WORLDCUP!BD61</f>
        <v>Australia</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x14ac:dyDescent="0.2">
      <c r="A263" s="9" t="s">
        <v>986</v>
      </c>
      <c r="B263" s="9">
        <f ca="1">+IF(A263=WORLDCUP!$BI$112,1,0)</f>
        <v>0</v>
      </c>
      <c r="C263" s="9" t="str">
        <f ca="1">+WORLDCUP!BD65</f>
        <v>Arabia Saudita</v>
      </c>
      <c r="D263" s="9" t="str">
        <f ca="1">+WORLDCUP!BD64</f>
        <v>Irán</v>
      </c>
      <c r="E263" s="9" t="str">
        <f ca="1">+WORLDCUP!BD67</f>
        <v>Austria</v>
      </c>
      <c r="F263" s="9" t="str">
        <f ca="1">+WORLDCUP!BD60</f>
        <v>Haití</v>
      </c>
      <c r="G263" s="9" t="str">
        <f ca="1">+WORLDCUP!BD58</f>
        <v>Corea del Sur</v>
      </c>
      <c r="H263" s="9" t="str">
        <f ca="1">+WORLDCUP!BD61</f>
        <v>Australia</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x14ac:dyDescent="0.2">
      <c r="A264" s="9" t="s">
        <v>985</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Corea del Sur</v>
      </c>
      <c r="H264" s="9" t="str">
        <f ca="1">+WORLDCUP!BD61</f>
        <v>Australia</v>
      </c>
      <c r="I264" s="9" t="str">
        <f ca="1">+WORLDCUP!BD69</f>
        <v>Ghana</v>
      </c>
      <c r="J264" s="9" t="str">
        <f ca="1">+WORLDCUP!BD66</f>
        <v>Irak</v>
      </c>
      <c r="N264" s="16" t="s">
        <v>985</v>
      </c>
      <c r="O264" s="16">
        <v>263</v>
      </c>
      <c r="P264" s="16" t="s">
        <v>446</v>
      </c>
      <c r="Q264" s="16" t="s">
        <v>445</v>
      </c>
      <c r="R264" s="16" t="s">
        <v>94</v>
      </c>
      <c r="S264" s="16" t="s">
        <v>92</v>
      </c>
      <c r="T264" s="16" t="s">
        <v>90</v>
      </c>
      <c r="U264" s="16" t="s">
        <v>93</v>
      </c>
      <c r="V264" s="16" t="s">
        <v>453</v>
      </c>
      <c r="W264" s="16" t="s">
        <v>450</v>
      </c>
    </row>
    <row r="265" spans="1:23" x14ac:dyDescent="0.2">
      <c r="A265" s="9" t="s">
        <v>984</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Corea del Sur</v>
      </c>
      <c r="H265" s="9" t="str">
        <f ca="1">+WORLDCUP!BD61</f>
        <v>Australia</v>
      </c>
      <c r="I265" s="9" t="str">
        <f ca="1">+WORLDCUP!BD66</f>
        <v>Irak</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x14ac:dyDescent="0.2">
      <c r="A266" s="9" t="s">
        <v>983</v>
      </c>
      <c r="B266" s="9">
        <f ca="1">+IF(A266=WORLDCUP!$BI$112,1,0)</f>
        <v>0</v>
      </c>
      <c r="C266" s="9" t="str">
        <f ca="1">+WORLDCUP!BD65</f>
        <v>Arabia Saudita</v>
      </c>
      <c r="D266" s="9" t="str">
        <f ca="1">+WORLDCUP!BD64</f>
        <v>Irán</v>
      </c>
      <c r="E266" s="9" t="str">
        <f ca="1">+WORLDCUP!BD67</f>
        <v>Austria</v>
      </c>
      <c r="F266" s="9" t="str">
        <f ca="1">+WORLDCUP!BD60</f>
        <v>Haití</v>
      </c>
      <c r="G266" s="9" t="str">
        <f ca="1">+WORLDCUP!BD58</f>
        <v>Corea del Sur</v>
      </c>
      <c r="H266" s="9" t="str">
        <f ca="1">+WORLDCUP!BD61</f>
        <v>Australia</v>
      </c>
      <c r="I266" s="9" t="str">
        <f ca="1">+WORLDCUP!BD62</f>
        <v>Costa de Marfil</v>
      </c>
      <c r="J266" s="9" t="str">
        <f ca="1">+WORLDCUP!BD66</f>
        <v>Irak</v>
      </c>
      <c r="N266" s="16" t="s">
        <v>983</v>
      </c>
      <c r="O266" s="16">
        <v>265</v>
      </c>
      <c r="P266" s="16" t="s">
        <v>446</v>
      </c>
      <c r="Q266" s="16" t="s">
        <v>445</v>
      </c>
      <c r="R266" s="16" t="s">
        <v>451</v>
      </c>
      <c r="S266" s="16" t="s">
        <v>92</v>
      </c>
      <c r="T266" s="16" t="s">
        <v>90</v>
      </c>
      <c r="U266" s="16" t="s">
        <v>93</v>
      </c>
      <c r="V266" s="16" t="s">
        <v>94</v>
      </c>
      <c r="W266" s="16" t="s">
        <v>450</v>
      </c>
    </row>
    <row r="267" spans="1:23" x14ac:dyDescent="0.2">
      <c r="A267" s="9" t="s">
        <v>982</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x14ac:dyDescent="0.2">
      <c r="A268" s="9" t="s">
        <v>981</v>
      </c>
      <c r="B268" s="9">
        <f ca="1">+IF(A268=WORLDCUP!$BI$112,1,0)</f>
        <v>0</v>
      </c>
      <c r="C268" s="9" t="str">
        <f ca="1">+WORLDCUP!BD60</f>
        <v>Haití</v>
      </c>
      <c r="D268" s="9" t="str">
        <f ca="1">+WORLDCUP!BD62</f>
        <v>Costa de Marfil</v>
      </c>
      <c r="E268" s="9" t="str">
        <f ca="1">+WORLDCUP!BD66</f>
        <v>Irak</v>
      </c>
      <c r="F268" s="9" t="str">
        <f ca="1">+WORLDCUP!BD61</f>
        <v>Australia</v>
      </c>
      <c r="G268" s="9" t="str">
        <f ca="1">+WORLDCUP!BD58</f>
        <v>Corea del Sur</v>
      </c>
      <c r="H268" s="9" t="str">
        <f ca="1">+WORLDCUP!BD63</f>
        <v>Suecia</v>
      </c>
      <c r="I268" s="9" t="str">
        <f ca="1">+WORLDCUP!BD69</f>
        <v>Ghana</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x14ac:dyDescent="0.2">
      <c r="A269" s="9" t="s">
        <v>980</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Irak</v>
      </c>
      <c r="N269" s="16" t="s">
        <v>980</v>
      </c>
      <c r="O269" s="16">
        <v>268</v>
      </c>
      <c r="P269" s="16" t="s">
        <v>92</v>
      </c>
      <c r="Q269" s="16" t="s">
        <v>451</v>
      </c>
      <c r="R269" s="16" t="s">
        <v>94</v>
      </c>
      <c r="S269" s="16" t="s">
        <v>93</v>
      </c>
      <c r="T269" s="16" t="s">
        <v>90</v>
      </c>
      <c r="U269" s="16" t="s">
        <v>95</v>
      </c>
      <c r="V269" s="16" t="s">
        <v>453</v>
      </c>
      <c r="W269" s="16" t="s">
        <v>450</v>
      </c>
    </row>
    <row r="270" spans="1:23" x14ac:dyDescent="0.2">
      <c r="A270" s="9" t="s">
        <v>979</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Corea del Sur</v>
      </c>
      <c r="H270" s="9" t="str">
        <f ca="1">+WORLDCUP!BD63</f>
        <v>Suecia</v>
      </c>
      <c r="I270" s="9" t="str">
        <f ca="1">+WORLDCUP!BD66</f>
        <v>Irak</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x14ac:dyDescent="0.2">
      <c r="A271" s="9" t="s">
        <v>978</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Corea del Sur</v>
      </c>
      <c r="H271" s="9" t="str">
        <f ca="1">+WORLDCUP!BD61</f>
        <v>Australia</v>
      </c>
      <c r="I271" s="9" t="str">
        <f ca="1">+WORLDCUP!BD69</f>
        <v>Ghana</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x14ac:dyDescent="0.2">
      <c r="A272" s="9" t="s">
        <v>977</v>
      </c>
      <c r="B272" s="9">
        <f ca="1">+IF(A272=WORLDCUP!$BI$112,1,0)</f>
        <v>0</v>
      </c>
      <c r="C272" s="9" t="str">
        <f ca="1">+WORLDCUP!BD65</f>
        <v>Arabia Saudita</v>
      </c>
      <c r="D272" s="9" t="str">
        <f ca="1">+WORLDCUP!BD67</f>
        <v>Austria</v>
      </c>
      <c r="E272" s="9" t="str">
        <f ca="1">+WORLDCUP!BD63</f>
        <v>Suecia</v>
      </c>
      <c r="F272" s="9" t="str">
        <f ca="1">+WORLDCUP!BD60</f>
        <v>Haití</v>
      </c>
      <c r="G272" s="9" t="str">
        <f ca="1">+WORLDCUP!BD58</f>
        <v>Corea del Sur</v>
      </c>
      <c r="H272" s="9" t="str">
        <f ca="1">+WORLDCUP!BD61</f>
        <v>Australia</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x14ac:dyDescent="0.2">
      <c r="A273" s="9" t="s">
        <v>976</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Corea del Sur</v>
      </c>
      <c r="H273" s="9" t="str">
        <f ca="1">+WORLDCUP!BD63</f>
        <v>Suecia</v>
      </c>
      <c r="I273" s="9" t="str">
        <f ca="1">+WORLDCUP!BD61</f>
        <v>Australia</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x14ac:dyDescent="0.2">
      <c r="A274" s="9" t="s">
        <v>975</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Corea del Sur</v>
      </c>
      <c r="H274" s="9" t="str">
        <f ca="1">+WORLDCUP!BD61</f>
        <v>Australia</v>
      </c>
      <c r="I274" s="9" t="str">
        <f ca="1">+WORLDCUP!BD69</f>
        <v>Ghana</v>
      </c>
      <c r="J274" s="9" t="str">
        <f ca="1">+WORLDCUP!BD66</f>
        <v>Irak</v>
      </c>
      <c r="N274" s="16" t="s">
        <v>975</v>
      </c>
      <c r="O274" s="16">
        <v>273</v>
      </c>
      <c r="P274" s="16" t="s">
        <v>446</v>
      </c>
      <c r="Q274" s="16" t="s">
        <v>94</v>
      </c>
      <c r="R274" s="16" t="s">
        <v>95</v>
      </c>
      <c r="S274" s="16" t="s">
        <v>92</v>
      </c>
      <c r="T274" s="16" t="s">
        <v>90</v>
      </c>
      <c r="U274" s="16" t="s">
        <v>93</v>
      </c>
      <c r="V274" s="16" t="s">
        <v>453</v>
      </c>
      <c r="W274" s="16" t="s">
        <v>450</v>
      </c>
    </row>
    <row r="275" spans="1:23" x14ac:dyDescent="0.2">
      <c r="A275" s="9" t="s">
        <v>974</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Corea del Sur</v>
      </c>
      <c r="H275" s="9" t="str">
        <f ca="1">+WORLDCUP!BD61</f>
        <v>Australia</v>
      </c>
      <c r="I275" s="9" t="str">
        <f ca="1">+WORLDCUP!BD66</f>
        <v>Irak</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x14ac:dyDescent="0.2">
      <c r="A276" s="9" t="s">
        <v>973</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Corea del Sur</v>
      </c>
      <c r="H276" s="9" t="str">
        <f ca="1">+WORLDCUP!BD63</f>
        <v>Suecia</v>
      </c>
      <c r="I276" s="9" t="str">
        <f ca="1">+WORLDCUP!BD61</f>
        <v>Australia</v>
      </c>
      <c r="J276" s="9" t="str">
        <f ca="1">+WORLDCUP!BD66</f>
        <v>Irak</v>
      </c>
      <c r="N276" s="16" t="s">
        <v>973</v>
      </c>
      <c r="O276" s="16">
        <v>275</v>
      </c>
      <c r="P276" s="16" t="s">
        <v>446</v>
      </c>
      <c r="Q276" s="16" t="s">
        <v>451</v>
      </c>
      <c r="R276" s="16" t="s">
        <v>94</v>
      </c>
      <c r="S276" s="16" t="s">
        <v>92</v>
      </c>
      <c r="T276" s="16" t="s">
        <v>90</v>
      </c>
      <c r="U276" s="16" t="s">
        <v>95</v>
      </c>
      <c r="V276" s="16" t="s">
        <v>93</v>
      </c>
      <c r="W276" s="16" t="s">
        <v>450</v>
      </c>
    </row>
    <row r="277" spans="1:23" x14ac:dyDescent="0.2">
      <c r="A277" s="9" t="s">
        <v>972</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x14ac:dyDescent="0.2">
      <c r="A278" s="9" t="s">
        <v>598</v>
      </c>
      <c r="B278" s="9">
        <f ca="1">+IF(A278=WORLDCUP!$BI$112,1,0)</f>
        <v>0</v>
      </c>
      <c r="C278" s="9" t="str">
        <f ca="1">+WORLDCUP!BD60</f>
        <v>Haití</v>
      </c>
      <c r="D278" s="9" t="str">
        <f ca="1">+WORLDCUP!BD64</f>
        <v>Irán</v>
      </c>
      <c r="E278" s="9" t="str">
        <f ca="1">+WORLDCUP!BD67</f>
        <v>Austria</v>
      </c>
      <c r="F278" s="9" t="str">
        <f ca="1">+WORLDCUP!BD61</f>
        <v>Australia</v>
      </c>
      <c r="G278" s="9" t="str">
        <f ca="1">+WORLDCUP!BD58</f>
        <v>Corea del Sur</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x14ac:dyDescent="0.2">
      <c r="A279" s="9" t="s">
        <v>597</v>
      </c>
      <c r="B279" s="9">
        <f ca="1">+IF(A279=WORLDCUP!$BI$112,1,0)</f>
        <v>0</v>
      </c>
      <c r="C279" s="9" t="str">
        <f ca="1">+WORLDCUP!BD60</f>
        <v>Haití</v>
      </c>
      <c r="D279" s="9" t="str">
        <f ca="1">+WORLDCUP!BD64</f>
        <v>Irán</v>
      </c>
      <c r="E279" s="9" t="str">
        <f ca="1">+WORLDCUP!BD67</f>
        <v>Austria</v>
      </c>
      <c r="F279" s="9" t="str">
        <f ca="1">+WORLDCUP!BD61</f>
        <v>Australia</v>
      </c>
      <c r="G279" s="9" t="str">
        <f ca="1">+WORLDCUP!BD58</f>
        <v>Corea del Sur</v>
      </c>
      <c r="H279" s="9" t="str">
        <f ca="1">+WORLDCUP!BD63</f>
        <v>Suecia</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x14ac:dyDescent="0.2">
      <c r="A280" s="9" t="s">
        <v>596</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Irak</v>
      </c>
      <c r="N280" s="16" t="s">
        <v>596</v>
      </c>
      <c r="O280" s="16">
        <v>279</v>
      </c>
      <c r="P280" s="16" t="s">
        <v>92</v>
      </c>
      <c r="Q280" s="16" t="s">
        <v>445</v>
      </c>
      <c r="R280" s="16" t="s">
        <v>94</v>
      </c>
      <c r="S280" s="16" t="s">
        <v>93</v>
      </c>
      <c r="T280" s="16" t="s">
        <v>90</v>
      </c>
      <c r="U280" s="16" t="s">
        <v>95</v>
      </c>
      <c r="V280" s="16" t="s">
        <v>453</v>
      </c>
      <c r="W280" s="16" t="s">
        <v>450</v>
      </c>
    </row>
    <row r="281" spans="1:23" x14ac:dyDescent="0.2">
      <c r="A281" s="9" t="s">
        <v>595</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Corea del Sur</v>
      </c>
      <c r="H281" s="9" t="str">
        <f ca="1">+WORLDCUP!BD63</f>
        <v>Suecia</v>
      </c>
      <c r="I281" s="9" t="str">
        <f ca="1">+WORLDCUP!BD66</f>
        <v>Irak</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x14ac:dyDescent="0.2">
      <c r="A282" s="9" t="s">
        <v>594</v>
      </c>
      <c r="B282" s="9">
        <f ca="1">+IF(A282=WORLDCUP!$BI$112,1,0)</f>
        <v>0</v>
      </c>
      <c r="C282" s="9" t="str">
        <f ca="1">+WORLDCUP!BD60</f>
        <v>Haití</v>
      </c>
      <c r="D282" s="9" t="str">
        <f ca="1">+WORLDCUP!BD64</f>
        <v>Irán</v>
      </c>
      <c r="E282" s="9" t="str">
        <f ca="1">+WORLDCUP!BD67</f>
        <v>Austria</v>
      </c>
      <c r="F282" s="9" t="str">
        <f ca="1">+WORLDCUP!BD61</f>
        <v>Australia</v>
      </c>
      <c r="G282" s="9" t="str">
        <f ca="1">+WORLDCUP!BD58</f>
        <v>Corea del Sur</v>
      </c>
      <c r="H282" s="9" t="str">
        <f ca="1">+WORLDCUP!BD63</f>
        <v>Suecia</v>
      </c>
      <c r="I282" s="9" t="str">
        <f ca="1">+WORLDCUP!BD62</f>
        <v>Costa de Marfil</v>
      </c>
      <c r="J282" s="9" t="str">
        <f ca="1">+WORLDCUP!BD66</f>
        <v>Irak</v>
      </c>
      <c r="N282" s="16" t="s">
        <v>594</v>
      </c>
      <c r="O282" s="16">
        <v>281</v>
      </c>
      <c r="P282" s="16" t="s">
        <v>92</v>
      </c>
      <c r="Q282" s="16" t="s">
        <v>445</v>
      </c>
      <c r="R282" s="16" t="s">
        <v>451</v>
      </c>
      <c r="S282" s="16" t="s">
        <v>93</v>
      </c>
      <c r="T282" s="16" t="s">
        <v>90</v>
      </c>
      <c r="U282" s="16" t="s">
        <v>95</v>
      </c>
      <c r="V282" s="16" t="s">
        <v>94</v>
      </c>
      <c r="W282" s="16" t="s">
        <v>450</v>
      </c>
    </row>
    <row r="283" spans="1:23" x14ac:dyDescent="0.2">
      <c r="A283" s="9" t="s">
        <v>593</v>
      </c>
      <c r="B283" s="9">
        <f ca="1">+IF(A283=WORLDCUP!$BI$112,1,0)</f>
        <v>0</v>
      </c>
      <c r="C283" s="9" t="str">
        <f ca="1">+WORLDCUP!BD65</f>
        <v>Arabia Saudita</v>
      </c>
      <c r="D283" s="9" t="str">
        <f ca="1">+WORLDCUP!BD64</f>
        <v>Irán</v>
      </c>
      <c r="E283" s="9" t="str">
        <f ca="1">+WORLDCUP!BD63</f>
        <v>Suecia</v>
      </c>
      <c r="F283" s="9" t="str">
        <f ca="1">+WORLDCUP!BD60</f>
        <v>Haití</v>
      </c>
      <c r="G283" s="9" t="str">
        <f ca="1">+WORLDCUP!BD58</f>
        <v>Corea del Sur</v>
      </c>
      <c r="H283" s="9" t="str">
        <f ca="1">+WORLDCUP!BD61</f>
        <v>Australia</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x14ac:dyDescent="0.2">
      <c r="A284" s="9" t="s">
        <v>592</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Corea del Sur</v>
      </c>
      <c r="H284" s="9" t="str">
        <f ca="1">+WORLDCUP!BD63</f>
        <v>Suecia</v>
      </c>
      <c r="I284" s="9" t="str">
        <f ca="1">+WORLDCUP!BD61</f>
        <v>Australia</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x14ac:dyDescent="0.2">
      <c r="A285" s="9" t="s">
        <v>591</v>
      </c>
      <c r="B285" s="9">
        <f ca="1">+IF(A285=WORLDCUP!$BI$112,1,0)</f>
        <v>0</v>
      </c>
      <c r="C285" s="9" t="str">
        <f ca="1">+WORLDCUP!BD65</f>
        <v>Arabia Saudita</v>
      </c>
      <c r="D285" s="9" t="str">
        <f ca="1">+WORLDCUP!BD64</f>
        <v>Irán</v>
      </c>
      <c r="E285" s="9" t="str">
        <f ca="1">+WORLDCUP!BD67</f>
        <v>Austria</v>
      </c>
      <c r="F285" s="9" t="str">
        <f ca="1">+WORLDCUP!BD60</f>
        <v>Haití</v>
      </c>
      <c r="G285" s="9" t="str">
        <f ca="1">+WORLDCUP!BD58</f>
        <v>Corea del Sur</v>
      </c>
      <c r="H285" s="9" t="str">
        <f ca="1">+WORLDCUP!BD63</f>
        <v>Suecia</v>
      </c>
      <c r="I285" s="9" t="str">
        <f ca="1">+WORLDCUP!BD61</f>
        <v>Australia</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x14ac:dyDescent="0.2">
      <c r="A286" s="9" t="s">
        <v>590</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Corea del Sur</v>
      </c>
      <c r="H286" s="9" t="str">
        <f ca="1">+WORLDCUP!BD63</f>
        <v>Suecia</v>
      </c>
      <c r="I286" s="9" t="str">
        <f ca="1">+WORLDCUP!BD61</f>
        <v>Australia</v>
      </c>
      <c r="J286" s="9" t="str">
        <f ca="1">+WORLDCUP!BD66</f>
        <v>Irak</v>
      </c>
      <c r="N286" s="16" t="s">
        <v>590</v>
      </c>
      <c r="O286" s="16">
        <v>285</v>
      </c>
      <c r="P286" s="16" t="s">
        <v>446</v>
      </c>
      <c r="Q286" s="16" t="s">
        <v>445</v>
      </c>
      <c r="R286" s="16" t="s">
        <v>94</v>
      </c>
      <c r="S286" s="16" t="s">
        <v>92</v>
      </c>
      <c r="T286" s="16" t="s">
        <v>90</v>
      </c>
      <c r="U286" s="16" t="s">
        <v>95</v>
      </c>
      <c r="V286" s="16" t="s">
        <v>93</v>
      </c>
      <c r="W286" s="16" t="s">
        <v>450</v>
      </c>
    </row>
    <row r="287" spans="1:23" x14ac:dyDescent="0.2">
      <c r="A287" s="9" t="s">
        <v>971</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Irak</v>
      </c>
      <c r="H287" s="9" t="str">
        <f ca="1">+WORLDCUP!BD64</f>
        <v>Irán</v>
      </c>
      <c r="I287" s="9" t="str">
        <f ca="1">+WORLDCUP!BD69</f>
        <v>Ghana</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x14ac:dyDescent="0.2">
      <c r="A288" s="9" t="s">
        <v>970</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Irak</v>
      </c>
      <c r="H288" s="9" t="str">
        <f ca="1">+WORLDCUP!BD63</f>
        <v>Suecia</v>
      </c>
      <c r="I288" s="9" t="str">
        <f ca="1">+WORLDCUP!BD69</f>
        <v>Ghana</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x14ac:dyDescent="0.2">
      <c r="A289" s="9" t="s">
        <v>969</v>
      </c>
      <c r="B289" s="9">
        <f ca="1">+IF(A289=WORLDCUP!$BI$112,1,0)</f>
        <v>0</v>
      </c>
      <c r="C289" s="9" t="str">
        <f ca="1">+WORLDCUP!BD66</f>
        <v>Irak</v>
      </c>
      <c r="D289" s="9" t="str">
        <f ca="1">+WORLDCUP!BD67</f>
        <v>Austria</v>
      </c>
      <c r="E289" s="9" t="str">
        <f ca="1">+WORLDCUP!BD59</f>
        <v>Catar</v>
      </c>
      <c r="F289" s="9" t="str">
        <f ca="1">+WORLDCUP!BD63</f>
        <v>Suecia</v>
      </c>
      <c r="G289" s="9" t="str">
        <f ca="1">+WORLDCUP!BD58</f>
        <v>Corea del Sur</v>
      </c>
      <c r="H289" s="9" t="str">
        <f ca="1">+WORLDCUP!BD64</f>
        <v>Irán</v>
      </c>
      <c r="I289" s="9" t="str">
        <f ca="1">+WORLDCUP!BD69</f>
        <v>Ghana</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x14ac:dyDescent="0.2">
      <c r="A290" s="9" t="s">
        <v>968</v>
      </c>
      <c r="B290" s="9">
        <f ca="1">+IF(A290=WORLDCUP!$BI$112,1,0)</f>
        <v>0</v>
      </c>
      <c r="C290" s="9" t="str">
        <f ca="1">+WORLDCUP!BD65</f>
        <v>Arabia Saudita</v>
      </c>
      <c r="D290" s="9" t="str">
        <f ca="1">+WORLDCUP!BD67</f>
        <v>Austria</v>
      </c>
      <c r="E290" s="9" t="str">
        <f ca="1">+WORLDCUP!BD59</f>
        <v>Catar</v>
      </c>
      <c r="F290" s="9" t="str">
        <f ca="1">+WORLDCUP!BD63</f>
        <v>Suecia</v>
      </c>
      <c r="G290" s="9" t="str">
        <f ca="1">+WORLDCUP!BD58</f>
        <v>Corea del Sur</v>
      </c>
      <c r="H290" s="9" t="str">
        <f ca="1">+WORLDCUP!BD64</f>
        <v>Irán</v>
      </c>
      <c r="I290" s="9" t="str">
        <f ca="1">+WORLDCUP!BD69</f>
        <v>Ghana</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x14ac:dyDescent="0.2">
      <c r="A291" s="9" t="s">
        <v>967</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Irak</v>
      </c>
      <c r="H291" s="9" t="str">
        <f ca="1">+WORLDCUP!BD63</f>
        <v>Suecia</v>
      </c>
      <c r="I291" s="9" t="str">
        <f ca="1">+WORLDCUP!BD69</f>
        <v>Ghana</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x14ac:dyDescent="0.2">
      <c r="A292" s="9" t="s">
        <v>966</v>
      </c>
      <c r="B292" s="9">
        <f ca="1">+IF(A292=WORLDCUP!$BI$112,1,0)</f>
        <v>0</v>
      </c>
      <c r="C292" s="9" t="str">
        <f ca="1">+WORLDCUP!BD65</f>
        <v>Arabia Saudita</v>
      </c>
      <c r="D292" s="9" t="str">
        <f ca="1">+WORLDCUP!BD67</f>
        <v>Austria</v>
      </c>
      <c r="E292" s="9" t="str">
        <f ca="1">+WORLDCUP!BD59</f>
        <v>Catar</v>
      </c>
      <c r="F292" s="9" t="str">
        <f ca="1">+WORLDCUP!BD63</f>
        <v>Suecia</v>
      </c>
      <c r="G292" s="9" t="str">
        <f ca="1">+WORLDCUP!BD58</f>
        <v>Corea del Sur</v>
      </c>
      <c r="H292" s="9" t="str">
        <f ca="1">+WORLDCUP!BD64</f>
        <v>Irán</v>
      </c>
      <c r="I292" s="9" t="str">
        <f ca="1">+WORLDCUP!BD69</f>
        <v>Ghana</v>
      </c>
      <c r="J292" s="9" t="str">
        <f ca="1">+WORLDCUP!BD66</f>
        <v>Irak</v>
      </c>
      <c r="N292" s="16" t="s">
        <v>966</v>
      </c>
      <c r="O292" s="16">
        <v>291</v>
      </c>
      <c r="P292" s="16" t="s">
        <v>446</v>
      </c>
      <c r="Q292" s="16" t="s">
        <v>451</v>
      </c>
      <c r="R292" s="16" t="s">
        <v>91</v>
      </c>
      <c r="S292" s="16" t="s">
        <v>95</v>
      </c>
      <c r="T292" s="16" t="s">
        <v>90</v>
      </c>
      <c r="U292" s="16" t="s">
        <v>445</v>
      </c>
      <c r="V292" s="16" t="s">
        <v>453</v>
      </c>
      <c r="W292" s="16" t="s">
        <v>450</v>
      </c>
    </row>
    <row r="293" spans="1:23" x14ac:dyDescent="0.2">
      <c r="A293" s="9" t="s">
        <v>965</v>
      </c>
      <c r="B293" s="9">
        <f ca="1">+IF(A293=WORLDCUP!$BI$112,1,0)</f>
        <v>0</v>
      </c>
      <c r="C293" s="9" t="str">
        <f ca="1">+WORLDCUP!BD65</f>
        <v>Arabia Saudita</v>
      </c>
      <c r="D293" s="9" t="str">
        <f ca="1">+WORLDCUP!BD67</f>
        <v>Austria</v>
      </c>
      <c r="E293" s="9" t="str">
        <f ca="1">+WORLDCUP!BD59</f>
        <v>Catar</v>
      </c>
      <c r="F293" s="9" t="str">
        <f ca="1">+WORLDCUP!BD63</f>
        <v>Suecia</v>
      </c>
      <c r="G293" s="9" t="str">
        <f ca="1">+WORLDCUP!BD58</f>
        <v>Corea del Sur</v>
      </c>
      <c r="H293" s="9" t="str">
        <f ca="1">+WORLDCUP!BD64</f>
        <v>Irán</v>
      </c>
      <c r="I293" s="9" t="str">
        <f ca="1">+WORLDCUP!BD66</f>
        <v>Irak</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x14ac:dyDescent="0.2">
      <c r="A294" s="9" t="s">
        <v>964</v>
      </c>
      <c r="B294" s="9">
        <f ca="1">+IF(A294=WORLDCUP!$BI$112,1,0)</f>
        <v>0</v>
      </c>
      <c r="C294" s="9" t="str">
        <f ca="1">+WORLDCUP!BD62</f>
        <v>Costa de Marfil</v>
      </c>
      <c r="D294" s="9" t="str">
        <f ca="1">+WORLDCUP!BD67</f>
        <v>Austria</v>
      </c>
      <c r="E294" s="9" t="str">
        <f ca="1">+WORLDCUP!BD59</f>
        <v>Catar</v>
      </c>
      <c r="F294" s="9" t="str">
        <f ca="1">+WORLDCUP!BD58</f>
        <v>Corea del Sur</v>
      </c>
      <c r="G294" s="9" t="str">
        <f ca="1">+WORLDCUP!BD66</f>
        <v>Irak</v>
      </c>
      <c r="H294" s="9" t="str">
        <f ca="1">+WORLDCUP!BD65</f>
        <v>Arabia Saudita</v>
      </c>
      <c r="I294" s="9" t="str">
        <f ca="1">+WORLDCUP!BD69</f>
        <v>Ghana</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x14ac:dyDescent="0.2">
      <c r="A295" s="9" t="s">
        <v>963</v>
      </c>
      <c r="B295" s="9">
        <f ca="1">+IF(A295=WORLDCUP!$BI$112,1,0)</f>
        <v>0</v>
      </c>
      <c r="C295" s="9" t="str">
        <f ca="1">+WORLDCUP!BD62</f>
        <v>Costa de Marfil</v>
      </c>
      <c r="D295" s="9" t="str">
        <f ca="1">+WORLDCUP!BD67</f>
        <v>Austria</v>
      </c>
      <c r="E295" s="9" t="str">
        <f ca="1">+WORLDCUP!BD59</f>
        <v>Catar</v>
      </c>
      <c r="F295" s="9" t="str">
        <f ca="1">+WORLDCUP!BD58</f>
        <v>Corea del Sur</v>
      </c>
      <c r="G295" s="9" t="str">
        <f ca="1">+WORLDCUP!BD66</f>
        <v>Irak</v>
      </c>
      <c r="H295" s="9" t="str">
        <f ca="1">+WORLDCUP!BD64</f>
        <v>Irán</v>
      </c>
      <c r="I295" s="9" t="str">
        <f ca="1">+WORLDCUP!BD69</f>
        <v>Ghana</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x14ac:dyDescent="0.2">
      <c r="A296" s="9" t="s">
        <v>962</v>
      </c>
      <c r="B296" s="9">
        <f ca="1">+IF(A296=WORLDCUP!$BI$112,1,0)</f>
        <v>0</v>
      </c>
      <c r="C296" s="9" t="str">
        <f ca="1">+WORLDCUP!BD62</f>
        <v>Costa de Marfil</v>
      </c>
      <c r="D296" s="9" t="str">
        <f ca="1">+WORLDCUP!BD67</f>
        <v>Austria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x14ac:dyDescent="0.2">
      <c r="A297" s="9" t="s">
        <v>961</v>
      </c>
      <c r="B297" s="9">
        <f ca="1">+IF(A297=WORLDCUP!$BI$112,1,0)</f>
        <v>0</v>
      </c>
      <c r="C297" s="9" t="str">
        <f ca="1">+WORLDCUP!BD62</f>
        <v>Costa de Marfil</v>
      </c>
      <c r="D297" s="9" t="str">
        <f ca="1">+WORLDCUP!BD64</f>
        <v>Irán</v>
      </c>
      <c r="E297" s="9" t="str">
        <f ca="1">+WORLDCUP!BD59</f>
        <v>Catar</v>
      </c>
      <c r="F297" s="9" t="str">
        <f ca="1">+WORLDCUP!BD58</f>
        <v>Corea del Sur</v>
      </c>
      <c r="G297" s="9" t="str">
        <f ca="1">+WORLDCUP!BD66</f>
        <v>Irak</v>
      </c>
      <c r="H297" s="9" t="str">
        <f ca="1">+WORLDCUP!BD65</f>
        <v>Arabia Saudita</v>
      </c>
      <c r="I297" s="9" t="str">
        <f ca="1">+WORLDCUP!BD69</f>
        <v>Ghana</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x14ac:dyDescent="0.2">
      <c r="A298" s="9" t="s">
        <v>960</v>
      </c>
      <c r="B298" s="9">
        <f ca="1">+IF(A298=WORLDCUP!$BI$112,1,0)</f>
        <v>0</v>
      </c>
      <c r="C298" s="9" t="str">
        <f ca="1">+WORLDCUP!BD62</f>
        <v>Costa de Marfil</v>
      </c>
      <c r="D298" s="9" t="str">
        <f ca="1">+WORLDCUP!BD67</f>
        <v>Austria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Irak</v>
      </c>
      <c r="N298" s="16" t="s">
        <v>960</v>
      </c>
      <c r="O298" s="16">
        <v>297</v>
      </c>
      <c r="P298" s="16" t="s">
        <v>94</v>
      </c>
      <c r="Q298" s="16" t="s">
        <v>451</v>
      </c>
      <c r="R298" s="16" t="s">
        <v>91</v>
      </c>
      <c r="S298" s="16" t="s">
        <v>90</v>
      </c>
      <c r="T298" s="16" t="s">
        <v>446</v>
      </c>
      <c r="U298" s="16" t="s">
        <v>445</v>
      </c>
      <c r="V298" s="16" t="s">
        <v>453</v>
      </c>
      <c r="W298" s="16" t="s">
        <v>450</v>
      </c>
    </row>
    <row r="299" spans="1:23" x14ac:dyDescent="0.2">
      <c r="A299" s="9" t="s">
        <v>959</v>
      </c>
      <c r="B299" s="9">
        <f ca="1">+IF(A299=WORLDCUP!$BI$112,1,0)</f>
        <v>0</v>
      </c>
      <c r="C299" s="9" t="str">
        <f ca="1">+WORLDCUP!BD62</f>
        <v>Costa de Marfil</v>
      </c>
      <c r="D299" s="9" t="str">
        <f ca="1">+WORLDCUP!BD67</f>
        <v>Austria</v>
      </c>
      <c r="E299" s="9" t="str">
        <f ca="1">+WORLDCUP!BD59</f>
        <v>Catar</v>
      </c>
      <c r="F299" s="9" t="str">
        <f ca="1">+WORLDCUP!BD58</f>
        <v>Corea del Sur</v>
      </c>
      <c r="G299" s="9" t="str">
        <f ca="1">+WORLDCUP!BD65</f>
        <v>Arabia Saudita</v>
      </c>
      <c r="H299" s="9" t="str">
        <f ca="1">+WORLDCUP!BD64</f>
        <v>Irán</v>
      </c>
      <c r="I299" s="9" t="str">
        <f ca="1">+WORLDCUP!BD66</f>
        <v>Irak</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x14ac:dyDescent="0.2">
      <c r="A300" s="9" t="s">
        <v>958</v>
      </c>
      <c r="B300" s="9">
        <f ca="1">+IF(A300=WORLDCUP!$BI$112,1,0)</f>
        <v>0</v>
      </c>
      <c r="C300" s="9" t="str">
        <f ca="1">+WORLDCUP!BD62</f>
        <v>Costa de Marfil</v>
      </c>
      <c r="D300" s="9" t="str">
        <f ca="1">+WORLDCUP!BD67</f>
        <v>Austria</v>
      </c>
      <c r="E300" s="9" t="str">
        <f ca="1">+WORLDCUP!BD59</f>
        <v>Catar</v>
      </c>
      <c r="F300" s="9" t="str">
        <f ca="1">+WORLDCUP!BD58</f>
        <v>Corea del Sur</v>
      </c>
      <c r="G300" s="9" t="str">
        <f ca="1">+WORLDCUP!BD66</f>
        <v>Irak</v>
      </c>
      <c r="H300" s="9" t="str">
        <f ca="1">+WORLDCUP!BD63</f>
        <v>Suecia</v>
      </c>
      <c r="I300" s="9" t="str">
        <f ca="1">+WORLDCUP!BD69</f>
        <v>Ghana</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x14ac:dyDescent="0.2">
      <c r="A301" s="9" t="s">
        <v>957</v>
      </c>
      <c r="B301" s="9">
        <f ca="1">+IF(A301=WORLDCUP!$BI$112,1,0)</f>
        <v>0</v>
      </c>
      <c r="C301" s="9" t="str">
        <f ca="1">+WORLDCUP!BD62</f>
        <v>Costa de Marfil</v>
      </c>
      <c r="D301" s="9" t="str">
        <f ca="1">+WORLDCUP!BD67</f>
        <v>Austria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x14ac:dyDescent="0.2">
      <c r="A302" s="9" t="s">
        <v>956</v>
      </c>
      <c r="B302" s="9">
        <f ca="1">+IF(A302=WORLDCUP!$BI$112,1,0)</f>
        <v>0</v>
      </c>
      <c r="C302" s="9" t="str">
        <f ca="1">+WORLDCUP!BD62</f>
        <v>Costa de Marfil</v>
      </c>
      <c r="D302" s="9" t="str">
        <f ca="1">+WORLDCUP!BD66</f>
        <v>Irak</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x14ac:dyDescent="0.2">
      <c r="A303" s="9" t="s">
        <v>955</v>
      </c>
      <c r="B303" s="9">
        <f ca="1">+IF(A303=WORLDCUP!$BI$112,1,0)</f>
        <v>0</v>
      </c>
      <c r="C303" s="9" t="str">
        <f ca="1">+WORLDCUP!BD62</f>
        <v>Costa de Marfil</v>
      </c>
      <c r="D303" s="9" t="str">
        <f ca="1">+WORLDCUP!BD67</f>
        <v>Austria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Irak</v>
      </c>
      <c r="N303" s="16" t="s">
        <v>955</v>
      </c>
      <c r="O303" s="16">
        <v>302</v>
      </c>
      <c r="P303" s="16" t="s">
        <v>94</v>
      </c>
      <c r="Q303" s="16" t="s">
        <v>451</v>
      </c>
      <c r="R303" s="16" t="s">
        <v>91</v>
      </c>
      <c r="S303" s="16" t="s">
        <v>95</v>
      </c>
      <c r="T303" s="16" t="s">
        <v>90</v>
      </c>
      <c r="U303" s="16" t="s">
        <v>446</v>
      </c>
      <c r="V303" s="16" t="s">
        <v>453</v>
      </c>
      <c r="W303" s="16" t="s">
        <v>450</v>
      </c>
    </row>
    <row r="304" spans="1:23" x14ac:dyDescent="0.2">
      <c r="A304" s="9" t="s">
        <v>954</v>
      </c>
      <c r="B304" s="9">
        <f ca="1">+IF(A304=WORLDCUP!$BI$112,1,0)</f>
        <v>0</v>
      </c>
      <c r="C304" s="9" t="str">
        <f ca="1">+WORLDCUP!BD62</f>
        <v>Costa de Marfil</v>
      </c>
      <c r="D304" s="9" t="str">
        <f ca="1">+WORLDCUP!BD67</f>
        <v>Austria</v>
      </c>
      <c r="E304" s="9" t="str">
        <f ca="1">+WORLDCUP!BD59</f>
        <v>Catar</v>
      </c>
      <c r="F304" s="9" t="str">
        <f ca="1">+WORLDCUP!BD63</f>
        <v>Suecia</v>
      </c>
      <c r="G304" s="9" t="str">
        <f ca="1">+WORLDCUP!BD58</f>
        <v>Corea del Sur</v>
      </c>
      <c r="H304" s="9" t="str">
        <f ca="1">+WORLDCUP!BD65</f>
        <v>Arabia Saudita</v>
      </c>
      <c r="I304" s="9" t="str">
        <f ca="1">+WORLDCUP!BD66</f>
        <v>Irak</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x14ac:dyDescent="0.2">
      <c r="A305" s="9" t="s">
        <v>953</v>
      </c>
      <c r="B305" s="9">
        <f ca="1">+IF(A305=WORLDCUP!$BI$112,1,0)</f>
        <v>0</v>
      </c>
      <c r="C305" s="9" t="str">
        <f ca="1">+WORLDCUP!BD62</f>
        <v>Costa de Marfil</v>
      </c>
      <c r="D305" s="9" t="str">
        <f ca="1">+WORLDCUP!BD67</f>
        <v>Austria</v>
      </c>
      <c r="E305" s="9" t="str">
        <f ca="1">+WORLDCUP!BD59</f>
        <v>Catar</v>
      </c>
      <c r="F305" s="9" t="str">
        <f ca="1">+WORLDCUP!BD63</f>
        <v>Suecia</v>
      </c>
      <c r="G305" s="9" t="str">
        <f ca="1">+WORLDCUP!BD58</f>
        <v>Corea del Sur</v>
      </c>
      <c r="H305" s="9" t="str">
        <f ca="1">+WORLDCUP!BD64</f>
        <v>Irán</v>
      </c>
      <c r="I305" s="9" t="str">
        <f ca="1">+WORLDCUP!BD69</f>
        <v>Ghana</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x14ac:dyDescent="0.2">
      <c r="A306" s="9" t="s">
        <v>952</v>
      </c>
      <c r="B306" s="9">
        <f ca="1">+IF(A306=WORLDCUP!$BI$112,1,0)</f>
        <v>0</v>
      </c>
      <c r="C306" s="9" t="str">
        <f ca="1">+WORLDCUP!BD62</f>
        <v>Costa de Marfil</v>
      </c>
      <c r="D306" s="9" t="str">
        <f ca="1">+WORLDCUP!BD64</f>
        <v>Irán</v>
      </c>
      <c r="E306" s="9" t="str">
        <f ca="1">+WORLDCUP!BD59</f>
        <v>Catar</v>
      </c>
      <c r="F306" s="9" t="str">
        <f ca="1">+WORLDCUP!BD58</f>
        <v>Corea del Sur</v>
      </c>
      <c r="G306" s="9" t="str">
        <f ca="1">+WORLDCUP!BD66</f>
        <v>Irak</v>
      </c>
      <c r="H306" s="9" t="str">
        <f ca="1">+WORLDCUP!BD63</f>
        <v>Suecia</v>
      </c>
      <c r="I306" s="9" t="str">
        <f ca="1">+WORLDCUP!BD69</f>
        <v>Ghana</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x14ac:dyDescent="0.2">
      <c r="A307" s="9" t="s">
        <v>951</v>
      </c>
      <c r="B307" s="9">
        <f ca="1">+IF(A307=WORLDCUP!$BI$112,1,0)</f>
        <v>0</v>
      </c>
      <c r="C307" s="9" t="str">
        <f ca="1">+WORLDCUP!BD62</f>
        <v>Costa de Marfil</v>
      </c>
      <c r="D307" s="9" t="str">
        <f ca="1">+WORLDCUP!BD67</f>
        <v>Austria</v>
      </c>
      <c r="E307" s="9" t="str">
        <f ca="1">+WORLDCUP!BD59</f>
        <v>Catar</v>
      </c>
      <c r="F307" s="9" t="str">
        <f ca="1">+WORLDCUP!BD63</f>
        <v>Suecia</v>
      </c>
      <c r="G307" s="9" t="str">
        <f ca="1">+WORLDCUP!BD58</f>
        <v>Corea del Sur</v>
      </c>
      <c r="H307" s="9" t="str">
        <f ca="1">+WORLDCUP!BD64</f>
        <v>Irán</v>
      </c>
      <c r="I307" s="9" t="str">
        <f ca="1">+WORLDCUP!BD69</f>
        <v>Ghana</v>
      </c>
      <c r="J307" s="9" t="str">
        <f ca="1">+WORLDCUP!BD66</f>
        <v>Irak</v>
      </c>
      <c r="N307" s="16" t="s">
        <v>951</v>
      </c>
      <c r="O307" s="16">
        <v>306</v>
      </c>
      <c r="P307" s="16" t="s">
        <v>94</v>
      </c>
      <c r="Q307" s="16" t="s">
        <v>451</v>
      </c>
      <c r="R307" s="16" t="s">
        <v>91</v>
      </c>
      <c r="S307" s="16" t="s">
        <v>95</v>
      </c>
      <c r="T307" s="16" t="s">
        <v>90</v>
      </c>
      <c r="U307" s="16" t="s">
        <v>445</v>
      </c>
      <c r="V307" s="16" t="s">
        <v>453</v>
      </c>
      <c r="W307" s="16" t="s">
        <v>450</v>
      </c>
    </row>
    <row r="308" spans="1:23" x14ac:dyDescent="0.2">
      <c r="A308" s="9" t="s">
        <v>950</v>
      </c>
      <c r="B308" s="9">
        <f ca="1">+IF(A308=WORLDCUP!$BI$112,1,0)</f>
        <v>0</v>
      </c>
      <c r="C308" s="9" t="str">
        <f ca="1">+WORLDCUP!BD62</f>
        <v>Costa de Marfil</v>
      </c>
      <c r="D308" s="9" t="str">
        <f ca="1">+WORLDCUP!BD67</f>
        <v>Austria</v>
      </c>
      <c r="E308" s="9" t="str">
        <f ca="1">+WORLDCUP!BD59</f>
        <v>Catar</v>
      </c>
      <c r="F308" s="9" t="str">
        <f ca="1">+WORLDCUP!BD63</f>
        <v>Suecia</v>
      </c>
      <c r="G308" s="9" t="str">
        <f ca="1">+WORLDCUP!BD58</f>
        <v>Corea del Sur</v>
      </c>
      <c r="H308" s="9" t="str">
        <f ca="1">+WORLDCUP!BD64</f>
        <v>Irán</v>
      </c>
      <c r="I308" s="9" t="str">
        <f ca="1">+WORLDCUP!BD66</f>
        <v>Irak</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x14ac:dyDescent="0.2">
      <c r="A309" s="9" t="s">
        <v>949</v>
      </c>
      <c r="B309" s="9">
        <f ca="1">+IF(A309=WORLDCUP!$BI$112,1,0)</f>
        <v>0</v>
      </c>
      <c r="C309" s="9" t="str">
        <f ca="1">+WORLDCUP!BD62</f>
        <v>Costa de Marfil</v>
      </c>
      <c r="D309" s="9" t="str">
        <f ca="1">+WORLDCUP!BD64</f>
        <v>Irán</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x14ac:dyDescent="0.2">
      <c r="A310" s="9" t="s">
        <v>948</v>
      </c>
      <c r="B310" s="9">
        <f ca="1">+IF(A310=WORLDCUP!$BI$112,1,0)</f>
        <v>0</v>
      </c>
      <c r="C310" s="9" t="str">
        <f ca="1">+WORLDCUP!BD65</f>
        <v>Arabia Saudita</v>
      </c>
      <c r="D310" s="9" t="str">
        <f ca="1">+WORLDCUP!BD67</f>
        <v>Austria</v>
      </c>
      <c r="E310" s="9" t="str">
        <f ca="1">+WORLDCUP!BD59</f>
        <v>Catar</v>
      </c>
      <c r="F310" s="9" t="str">
        <f ca="1">+WORLDCUP!BD63</f>
        <v>Suecia</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x14ac:dyDescent="0.2">
      <c r="A311" s="9" t="s">
        <v>947</v>
      </c>
      <c r="B311" s="9">
        <f ca="1">+IF(A311=WORLDCUP!$BI$112,1,0)</f>
        <v>0</v>
      </c>
      <c r="C311" s="9" t="str">
        <f ca="1">+WORLDCUP!BD65</f>
        <v>Arabia Saudita</v>
      </c>
      <c r="D311" s="9" t="str">
        <f ca="1">+WORLDCUP!BD67</f>
        <v>Austria</v>
      </c>
      <c r="E311" s="9" t="str">
        <f ca="1">+WORLDCUP!BD59</f>
        <v>Catar</v>
      </c>
      <c r="F311" s="9" t="str">
        <f ca="1">+WORLDCUP!BD63</f>
        <v>Suecia</v>
      </c>
      <c r="G311" s="9" t="str">
        <f ca="1">+WORLDCUP!BD58</f>
        <v>Corea del Sur</v>
      </c>
      <c r="H311" s="9" t="str">
        <f ca="1">+WORLDCUP!BD64</f>
        <v>Irán</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x14ac:dyDescent="0.2">
      <c r="A312" s="9" t="s">
        <v>946</v>
      </c>
      <c r="B312" s="9">
        <f ca="1">+IF(A312=WORLDCUP!$BI$112,1,0)</f>
        <v>0</v>
      </c>
      <c r="C312" s="9" t="str">
        <f ca="1">+WORLDCUP!BD62</f>
        <v>Costa de Marfil</v>
      </c>
      <c r="D312" s="9" t="str">
        <f ca="1">+WORLDCUP!BD64</f>
        <v>Irán</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Irak</v>
      </c>
      <c r="N312" s="16" t="s">
        <v>946</v>
      </c>
      <c r="O312" s="16">
        <v>311</v>
      </c>
      <c r="P312" s="16" t="s">
        <v>94</v>
      </c>
      <c r="Q312" s="16" t="s">
        <v>445</v>
      </c>
      <c r="R312" s="16" t="s">
        <v>91</v>
      </c>
      <c r="S312" s="16" t="s">
        <v>95</v>
      </c>
      <c r="T312" s="16" t="s">
        <v>90</v>
      </c>
      <c r="U312" s="16" t="s">
        <v>446</v>
      </c>
      <c r="V312" s="16" t="s">
        <v>453</v>
      </c>
      <c r="W312" s="16" t="s">
        <v>450</v>
      </c>
    </row>
    <row r="313" spans="1:23" x14ac:dyDescent="0.2">
      <c r="A313" s="9" t="s">
        <v>945</v>
      </c>
      <c r="B313" s="9">
        <f ca="1">+IF(A313=WORLDCUP!$BI$112,1,0)</f>
        <v>0</v>
      </c>
      <c r="C313" s="9" t="str">
        <f ca="1">+WORLDCUP!BD62</f>
        <v>Costa de Marfil</v>
      </c>
      <c r="D313" s="9" t="str">
        <f ca="1">+WORLDCUP!BD64</f>
        <v>Irán</v>
      </c>
      <c r="E313" s="9" t="str">
        <f ca="1">+WORLDCUP!BD59</f>
        <v>Catar</v>
      </c>
      <c r="F313" s="9" t="str">
        <f ca="1">+WORLDCUP!BD63</f>
        <v>Suecia</v>
      </c>
      <c r="G313" s="9" t="str">
        <f ca="1">+WORLDCUP!BD58</f>
        <v>Corea del Sur</v>
      </c>
      <c r="H313" s="9" t="str">
        <f ca="1">+WORLDCUP!BD65</f>
        <v>Arabia Saudita</v>
      </c>
      <c r="I313" s="9" t="str">
        <f ca="1">+WORLDCUP!BD66</f>
        <v>Irak</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x14ac:dyDescent="0.2">
      <c r="A314" s="9" t="s">
        <v>944</v>
      </c>
      <c r="B314" s="9">
        <f ca="1">+IF(A314=WORLDCUP!$BI$112,1,0)</f>
        <v>0</v>
      </c>
      <c r="C314" s="9" t="str">
        <f ca="1">+WORLDCUP!BD65</f>
        <v>Arabia Saudita</v>
      </c>
      <c r="D314" s="9" t="str">
        <f ca="1">+WORLDCUP!BD67</f>
        <v>Austria</v>
      </c>
      <c r="E314" s="9" t="str">
        <f ca="1">+WORLDCUP!BD59</f>
        <v>Catar</v>
      </c>
      <c r="F314" s="9" t="str">
        <f ca="1">+WORLDCUP!BD63</f>
        <v>Suecia</v>
      </c>
      <c r="G314" s="9" t="str">
        <f ca="1">+WORLDCUP!BD58</f>
        <v>Corea del Sur</v>
      </c>
      <c r="H314" s="9" t="str">
        <f ca="1">+WORLDCUP!BD64</f>
        <v>Irán</v>
      </c>
      <c r="I314" s="9" t="str">
        <f ca="1">+WORLDCUP!BD62</f>
        <v>Costa de Marfil</v>
      </c>
      <c r="J314" s="9" t="str">
        <f ca="1">+WORLDCUP!BD66</f>
        <v>Irak</v>
      </c>
      <c r="N314" s="16" t="s">
        <v>944</v>
      </c>
      <c r="O314" s="16">
        <v>313</v>
      </c>
      <c r="P314" s="16" t="s">
        <v>446</v>
      </c>
      <c r="Q314" s="16" t="s">
        <v>451</v>
      </c>
      <c r="R314" s="16" t="s">
        <v>91</v>
      </c>
      <c r="S314" s="16" t="s">
        <v>95</v>
      </c>
      <c r="T314" s="16" t="s">
        <v>90</v>
      </c>
      <c r="U314" s="16" t="s">
        <v>445</v>
      </c>
      <c r="V314" s="16" t="s">
        <v>94</v>
      </c>
      <c r="W314" s="16" t="s">
        <v>450</v>
      </c>
    </row>
    <row r="315" spans="1:23" x14ac:dyDescent="0.2">
      <c r="A315" s="9" t="s">
        <v>943</v>
      </c>
      <c r="B315" s="9">
        <f ca="1">+IF(A315=WORLDCUP!$BI$112,1,0)</f>
        <v>0</v>
      </c>
      <c r="C315" s="9" t="str">
        <f ca="1">+WORLDCUP!BD66</f>
        <v>Irak</v>
      </c>
      <c r="D315" s="9" t="str">
        <f ca="1">+WORLDCUP!BD67</f>
        <v>Austria</v>
      </c>
      <c r="E315" s="9" t="str">
        <f ca="1">+WORLDCUP!BD59</f>
        <v>Catar</v>
      </c>
      <c r="F315" s="9" t="str">
        <f ca="1">+WORLDCUP!BD61</f>
        <v>Australia</v>
      </c>
      <c r="G315" s="9" t="str">
        <f ca="1">+WORLDCUP!BD58</f>
        <v>Corea del Sur</v>
      </c>
      <c r="H315" s="9" t="str">
        <f ca="1">+WORLDCUP!BD65</f>
        <v>Arabia Saudita</v>
      </c>
      <c r="I315" s="9" t="str">
        <f ca="1">+WORLDCUP!BD69</f>
        <v>Ghana</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x14ac:dyDescent="0.2">
      <c r="A316" s="9" t="s">
        <v>942</v>
      </c>
      <c r="B316" s="9">
        <f ca="1">+IF(A316=WORLDCUP!$BI$112,1,0)</f>
        <v>0</v>
      </c>
      <c r="C316" s="9" t="str">
        <f ca="1">+WORLDCUP!BD66</f>
        <v>Irak</v>
      </c>
      <c r="D316" s="9" t="str">
        <f ca="1">+WORLDCUP!BD67</f>
        <v>Austria</v>
      </c>
      <c r="E316" s="9" t="str">
        <f ca="1">+WORLDCUP!BD59</f>
        <v>Catar</v>
      </c>
      <c r="F316" s="9" t="str">
        <f ca="1">+WORLDCUP!BD61</f>
        <v>Australia</v>
      </c>
      <c r="G316" s="9" t="str">
        <f ca="1">+WORLDCUP!BD58</f>
        <v>Corea del Sur</v>
      </c>
      <c r="H316" s="9" t="str">
        <f ca="1">+WORLDCUP!BD64</f>
        <v>Irán</v>
      </c>
      <c r="I316" s="9" t="str">
        <f ca="1">+WORLDCUP!BD69</f>
        <v>Ghana</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x14ac:dyDescent="0.2">
      <c r="A317" s="9" t="s">
        <v>941</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Corea del Sur</v>
      </c>
      <c r="H317" s="9" t="str">
        <f ca="1">+WORLDCUP!BD64</f>
        <v>Irán</v>
      </c>
      <c r="I317" s="9" t="str">
        <f ca="1">+WORLDCUP!BD69</f>
        <v>Ghana</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x14ac:dyDescent="0.2">
      <c r="A318" s="9" t="s">
        <v>940</v>
      </c>
      <c r="B318" s="9">
        <f ca="1">+IF(A318=WORLDCUP!$BI$112,1,0)</f>
        <v>0</v>
      </c>
      <c r="C318" s="9" t="str">
        <f ca="1">+WORLDCUP!BD66</f>
        <v>Irak</v>
      </c>
      <c r="D318" s="9" t="str">
        <f ca="1">+WORLDCUP!BD64</f>
        <v>Irán</v>
      </c>
      <c r="E318" s="9" t="str">
        <f ca="1">+WORLDCUP!BD59</f>
        <v>Catar</v>
      </c>
      <c r="F318" s="9" t="str">
        <f ca="1">+WORLDCUP!BD61</f>
        <v>Australia</v>
      </c>
      <c r="G318" s="9" t="str">
        <f ca="1">+WORLDCUP!BD58</f>
        <v>Corea del Sur</v>
      </c>
      <c r="H318" s="9" t="str">
        <f ca="1">+WORLDCUP!BD65</f>
        <v>Arabia Saudita</v>
      </c>
      <c r="I318" s="9" t="str">
        <f ca="1">+WORLDCUP!BD69</f>
        <v>Ghana</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x14ac:dyDescent="0.2">
      <c r="A319" s="9" t="s">
        <v>939</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Corea del Sur</v>
      </c>
      <c r="H319" s="9" t="str">
        <f ca="1">+WORLDCUP!BD64</f>
        <v>Irán</v>
      </c>
      <c r="I319" s="9" t="str">
        <f ca="1">+WORLDCUP!BD69</f>
        <v>Ghana</v>
      </c>
      <c r="J319" s="9" t="str">
        <f ca="1">+WORLDCUP!BD66</f>
        <v>Irak</v>
      </c>
      <c r="N319" s="16" t="s">
        <v>939</v>
      </c>
      <c r="O319" s="16">
        <v>318</v>
      </c>
      <c r="P319" s="16" t="s">
        <v>446</v>
      </c>
      <c r="Q319" s="16" t="s">
        <v>451</v>
      </c>
      <c r="R319" s="16" t="s">
        <v>91</v>
      </c>
      <c r="S319" s="16" t="s">
        <v>93</v>
      </c>
      <c r="T319" s="16" t="s">
        <v>90</v>
      </c>
      <c r="U319" s="16" t="s">
        <v>445</v>
      </c>
      <c r="V319" s="16" t="s">
        <v>453</v>
      </c>
      <c r="W319" s="16" t="s">
        <v>450</v>
      </c>
    </row>
    <row r="320" spans="1:23" x14ac:dyDescent="0.2">
      <c r="A320" s="9" t="s">
        <v>938</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Corea del Sur</v>
      </c>
      <c r="H320" s="9" t="str">
        <f ca="1">+WORLDCUP!BD64</f>
        <v>Irán</v>
      </c>
      <c r="I320" s="9" t="str">
        <f ca="1">+WORLDCUP!BD66</f>
        <v>Irak</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x14ac:dyDescent="0.2">
      <c r="A321" s="9" t="s">
        <v>937</v>
      </c>
      <c r="B321" s="9">
        <f ca="1">+IF(A321=WORLDCUP!$BI$112,1,0)</f>
        <v>0</v>
      </c>
      <c r="C321" s="9" t="str">
        <f ca="1">+WORLDCUP!BD66</f>
        <v>Irak</v>
      </c>
      <c r="D321" s="9" t="str">
        <f ca="1">+WORLDCUP!BD67</f>
        <v>Austria</v>
      </c>
      <c r="E321" s="9" t="str">
        <f ca="1">+WORLDCUP!BD59</f>
        <v>Catar</v>
      </c>
      <c r="F321" s="9" t="str">
        <f ca="1">+WORLDCUP!BD61</f>
        <v>Australia</v>
      </c>
      <c r="G321" s="9" t="str">
        <f ca="1">+WORLDCUP!BD58</f>
        <v>Corea del Sur</v>
      </c>
      <c r="H321" s="9" t="str">
        <f ca="1">+WORLDCUP!BD63</f>
        <v>Suecia</v>
      </c>
      <c r="I321" s="9" t="str">
        <f ca="1">+WORLDCUP!BD69</f>
        <v>Ghana</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x14ac:dyDescent="0.2">
      <c r="A322" s="9" t="s">
        <v>936</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Corea del Sur</v>
      </c>
      <c r="H322" s="9" t="str">
        <f ca="1">+WORLDCUP!BD63</f>
        <v>Suecia</v>
      </c>
      <c r="I322" s="9" t="str">
        <f ca="1">+WORLDCUP!BD69</f>
        <v>Ghana</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x14ac:dyDescent="0.2">
      <c r="A323" s="9" t="s">
        <v>935</v>
      </c>
      <c r="B323" s="9">
        <f ca="1">+IF(A323=WORLDCUP!$BI$112,1,0)</f>
        <v>0</v>
      </c>
      <c r="C323" s="9" t="str">
        <f ca="1">+WORLDCUP!BD65</f>
        <v>Arabia Saudita</v>
      </c>
      <c r="D323" s="9" t="str">
        <f ca="1">+WORLDCUP!BD66</f>
        <v>Irak</v>
      </c>
      <c r="E323" s="9" t="str">
        <f ca="1">+WORLDCUP!BD59</f>
        <v>Catar</v>
      </c>
      <c r="F323" s="9" t="str">
        <f ca="1">+WORLDCUP!BD61</f>
        <v>Australia</v>
      </c>
      <c r="G323" s="9" t="str">
        <f ca="1">+WORLDCUP!BD58</f>
        <v>Corea del Sur</v>
      </c>
      <c r="H323" s="9" t="str">
        <f ca="1">+WORLDCUP!BD63</f>
        <v>Suecia</v>
      </c>
      <c r="I323" s="9" t="str">
        <f ca="1">+WORLDCUP!BD69</f>
        <v>Ghana</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x14ac:dyDescent="0.2">
      <c r="A324" s="9" t="s">
        <v>934</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Corea del Sur</v>
      </c>
      <c r="H324" s="9" t="str">
        <f ca="1">+WORLDCUP!BD63</f>
        <v>Suecia</v>
      </c>
      <c r="I324" s="9" t="str">
        <f ca="1">+WORLDCUP!BD69</f>
        <v>Ghana</v>
      </c>
      <c r="J324" s="9" t="str">
        <f ca="1">+WORLDCUP!BD66</f>
        <v>Irak</v>
      </c>
      <c r="N324" s="16" t="s">
        <v>934</v>
      </c>
      <c r="O324" s="16">
        <v>323</v>
      </c>
      <c r="P324" s="16" t="s">
        <v>446</v>
      </c>
      <c r="Q324" s="16" t="s">
        <v>451</v>
      </c>
      <c r="R324" s="16" t="s">
        <v>91</v>
      </c>
      <c r="S324" s="16" t="s">
        <v>93</v>
      </c>
      <c r="T324" s="16" t="s">
        <v>90</v>
      </c>
      <c r="U324" s="16" t="s">
        <v>95</v>
      </c>
      <c r="V324" s="16" t="s">
        <v>453</v>
      </c>
      <c r="W324" s="16" t="s">
        <v>450</v>
      </c>
    </row>
    <row r="325" spans="1:23" x14ac:dyDescent="0.2">
      <c r="A325" s="9" t="s">
        <v>933</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Corea del Sur</v>
      </c>
      <c r="H325" s="9" t="str">
        <f ca="1">+WORLDCUP!BD63</f>
        <v>Suecia</v>
      </c>
      <c r="I325" s="9" t="str">
        <f ca="1">+WORLDCUP!BD66</f>
        <v>Irak</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x14ac:dyDescent="0.2">
      <c r="A326" s="9" t="s">
        <v>932</v>
      </c>
      <c r="B326" s="9">
        <f ca="1">+IF(A326=WORLDCUP!$BI$112,1,0)</f>
        <v>0</v>
      </c>
      <c r="C326" s="9" t="str">
        <f ca="1">+WORLDCUP!BD63</f>
        <v>Suecia</v>
      </c>
      <c r="D326" s="9" t="str">
        <f ca="1">+WORLDCUP!BD67</f>
        <v>Austria</v>
      </c>
      <c r="E326" s="9" t="str">
        <f ca="1">+WORLDCUP!BD59</f>
        <v>Catar</v>
      </c>
      <c r="F326" s="9" t="str">
        <f ca="1">+WORLDCUP!BD61</f>
        <v>Australia</v>
      </c>
      <c r="G326" s="9" t="str">
        <f ca="1">+WORLDCUP!BD58</f>
        <v>Corea del Sur</v>
      </c>
      <c r="H326" s="9" t="str">
        <f ca="1">+WORLDCUP!BD64</f>
        <v>Irán</v>
      </c>
      <c r="I326" s="9" t="str">
        <f ca="1">+WORLDCUP!BD69</f>
        <v>Ghana</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x14ac:dyDescent="0.2">
      <c r="A327" s="9" t="s">
        <v>931</v>
      </c>
      <c r="B327" s="9">
        <f ca="1">+IF(A327=WORLDCUP!$BI$112,1,0)</f>
        <v>0</v>
      </c>
      <c r="C327" s="9" t="str">
        <f ca="1">+WORLDCUP!BD66</f>
        <v>Irak</v>
      </c>
      <c r="D327" s="9" t="str">
        <f ca="1">+WORLDCUP!BD64</f>
        <v>Irán</v>
      </c>
      <c r="E327" s="9" t="str">
        <f ca="1">+WORLDCUP!BD59</f>
        <v>Catar</v>
      </c>
      <c r="F327" s="9" t="str">
        <f ca="1">+WORLDCUP!BD61</f>
        <v>Australia</v>
      </c>
      <c r="G327" s="9" t="str">
        <f ca="1">+WORLDCUP!BD58</f>
        <v>Corea del Sur</v>
      </c>
      <c r="H327" s="9" t="str">
        <f ca="1">+WORLDCUP!BD63</f>
        <v>Suecia</v>
      </c>
      <c r="I327" s="9" t="str">
        <f ca="1">+WORLDCUP!BD69</f>
        <v>Ghana</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x14ac:dyDescent="0.2">
      <c r="A328" s="9" t="s">
        <v>930</v>
      </c>
      <c r="B328" s="9">
        <f ca="1">+IF(A328=WORLDCUP!$BI$112,1,0)</f>
        <v>0</v>
      </c>
      <c r="C328" s="9" t="str">
        <f ca="1">+WORLDCUP!BD63</f>
        <v>Suecia</v>
      </c>
      <c r="D328" s="9" t="str">
        <f ca="1">+WORLDCUP!BD67</f>
        <v>Austria</v>
      </c>
      <c r="E328" s="9" t="str">
        <f ca="1">+WORLDCUP!BD59</f>
        <v>Catar</v>
      </c>
      <c r="F328" s="9" t="str">
        <f ca="1">+WORLDCUP!BD61</f>
        <v>Australia</v>
      </c>
      <c r="G328" s="9" t="str">
        <f ca="1">+WORLDCUP!BD58</f>
        <v>Corea del Sur</v>
      </c>
      <c r="H328" s="9" t="str">
        <f ca="1">+WORLDCUP!BD64</f>
        <v>Irán</v>
      </c>
      <c r="I328" s="9" t="str">
        <f ca="1">+WORLDCUP!BD69</f>
        <v>Ghana</v>
      </c>
      <c r="J328" s="9" t="str">
        <f ca="1">+WORLDCUP!BD66</f>
        <v>Irak</v>
      </c>
      <c r="N328" s="16" t="s">
        <v>930</v>
      </c>
      <c r="O328" s="16">
        <v>327</v>
      </c>
      <c r="P328" s="16" t="s">
        <v>95</v>
      </c>
      <c r="Q328" s="16" t="s">
        <v>451</v>
      </c>
      <c r="R328" s="16" t="s">
        <v>91</v>
      </c>
      <c r="S328" s="16" t="s">
        <v>93</v>
      </c>
      <c r="T328" s="16" t="s">
        <v>90</v>
      </c>
      <c r="U328" s="16" t="s">
        <v>445</v>
      </c>
      <c r="V328" s="16" t="s">
        <v>453</v>
      </c>
      <c r="W328" s="16" t="s">
        <v>450</v>
      </c>
    </row>
    <row r="329" spans="1:23" x14ac:dyDescent="0.2">
      <c r="A329" s="9" t="s">
        <v>929</v>
      </c>
      <c r="B329" s="9">
        <f ca="1">+IF(A329=WORLDCUP!$BI$112,1,0)</f>
        <v>0</v>
      </c>
      <c r="C329" s="9" t="str">
        <f ca="1">+WORLDCUP!BD63</f>
        <v>Suecia</v>
      </c>
      <c r="D329" s="9" t="str">
        <f ca="1">+WORLDCUP!BD67</f>
        <v>Austria</v>
      </c>
      <c r="E329" s="9" t="str">
        <f ca="1">+WORLDCUP!BD59</f>
        <v>Catar</v>
      </c>
      <c r="F329" s="9" t="str">
        <f ca="1">+WORLDCUP!BD61</f>
        <v>Australia</v>
      </c>
      <c r="G329" s="9" t="str">
        <f ca="1">+WORLDCUP!BD58</f>
        <v>Corea del Sur</v>
      </c>
      <c r="H329" s="9" t="str">
        <f ca="1">+WORLDCUP!BD64</f>
        <v>Irán</v>
      </c>
      <c r="I329" s="9" t="str">
        <f ca="1">+WORLDCUP!BD66</f>
        <v>Irak</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x14ac:dyDescent="0.2">
      <c r="A330" s="9" t="s">
        <v>928</v>
      </c>
      <c r="B330" s="9">
        <f ca="1">+IF(A330=WORLDCUP!$BI$112,1,0)</f>
        <v>0</v>
      </c>
      <c r="C330" s="9" t="str">
        <f ca="1">+WORLDCUP!BD65</f>
        <v>Arabia Saudita</v>
      </c>
      <c r="D330" s="9" t="str">
        <f ca="1">+WORLDCUP!BD64</f>
        <v>Irán</v>
      </c>
      <c r="E330" s="9" t="str">
        <f ca="1">+WORLDCUP!BD59</f>
        <v>Catar</v>
      </c>
      <c r="F330" s="9" t="str">
        <f ca="1">+WORLDCUP!BD61</f>
        <v>Australia</v>
      </c>
      <c r="G330" s="9" t="str">
        <f ca="1">+WORLDCUP!BD58</f>
        <v>Corea del Sur</v>
      </c>
      <c r="H330" s="9" t="str">
        <f ca="1">+WORLDCUP!BD63</f>
        <v>Suecia</v>
      </c>
      <c r="I330" s="9" t="str">
        <f ca="1">+WORLDCUP!BD69</f>
        <v>Ghana</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x14ac:dyDescent="0.2">
      <c r="A331" s="9" t="s">
        <v>927</v>
      </c>
      <c r="B331" s="9">
        <f ca="1">+IF(A331=WORLDCUP!$BI$112,1,0)</f>
        <v>0</v>
      </c>
      <c r="C331" s="9" t="str">
        <f ca="1">+WORLDCUP!BD65</f>
        <v>Arabia Saudita</v>
      </c>
      <c r="D331" s="9" t="str">
        <f ca="1">+WORLDCUP!BD64</f>
        <v>Irán</v>
      </c>
      <c r="E331" s="9" t="str">
        <f ca="1">+WORLDCUP!BD59</f>
        <v>Catar</v>
      </c>
      <c r="F331" s="9" t="str">
        <f ca="1">+WORLDCUP!BD61</f>
        <v>Australia</v>
      </c>
      <c r="G331" s="9" t="str">
        <f ca="1">+WORLDCUP!BD58</f>
        <v>Corea del Sur</v>
      </c>
      <c r="H331" s="9" t="str">
        <f ca="1">+WORLDCUP!BD63</f>
        <v>Suecia</v>
      </c>
      <c r="I331" s="9" t="str">
        <f ca="1">+WORLDCUP!BD69</f>
        <v>Ghana</v>
      </c>
      <c r="J331" s="9" t="str">
        <f ca="1">+WORLDCUP!BD67</f>
        <v>Austria</v>
      </c>
      <c r="N331" s="16" t="s">
        <v>927</v>
      </c>
      <c r="O331" s="16">
        <v>330</v>
      </c>
      <c r="P331" s="16" t="s">
        <v>446</v>
      </c>
      <c r="Q331" s="16" t="s">
        <v>445</v>
      </c>
      <c r="R331" s="16" t="s">
        <v>91</v>
      </c>
      <c r="S331" s="16" t="s">
        <v>93</v>
      </c>
      <c r="T331" s="16" t="s">
        <v>90</v>
      </c>
      <c r="U331" s="16" t="s">
        <v>95</v>
      </c>
      <c r="V331" s="16" t="s">
        <v>453</v>
      </c>
      <c r="W331" s="16" t="s">
        <v>451</v>
      </c>
    </row>
    <row r="332" spans="1:23" x14ac:dyDescent="0.2">
      <c r="A332" s="9" t="s">
        <v>926</v>
      </c>
      <c r="B332" s="9">
        <f ca="1">+IF(A332=WORLDCUP!$BI$112,1,0)</f>
        <v>0</v>
      </c>
      <c r="C332" s="9" t="str">
        <f ca="1">+WORLDCUP!BD65</f>
        <v>Arabia Saudita</v>
      </c>
      <c r="D332" s="9" t="str">
        <f ca="1">+WORLDCUP!BD64</f>
        <v>Irán</v>
      </c>
      <c r="E332" s="9" t="str">
        <f ca="1">+WORLDCUP!BD59</f>
        <v>Catar</v>
      </c>
      <c r="F332" s="9" t="str">
        <f ca="1">+WORLDCUP!BD61</f>
        <v>Australia</v>
      </c>
      <c r="G332" s="9" t="str">
        <f ca="1">+WORLDCUP!BD58</f>
        <v>Corea del Sur</v>
      </c>
      <c r="H332" s="9" t="str">
        <f ca="1">+WORLDCUP!BD63</f>
        <v>Suecia</v>
      </c>
      <c r="I332" s="9" t="str">
        <f ca="1">+WORLDCUP!BD67</f>
        <v>Austria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x14ac:dyDescent="0.2">
      <c r="A333" s="9" t="s">
        <v>925</v>
      </c>
      <c r="B333" s="9">
        <f ca="1">+IF(A333=WORLDCUP!$BI$112,1,0)</f>
        <v>0</v>
      </c>
      <c r="C333" s="9" t="str">
        <f ca="1">+WORLDCUP!BD65</f>
        <v>Arabia Saudita</v>
      </c>
      <c r="D333" s="9" t="str">
        <f ca="1">+WORLDCUP!BD64</f>
        <v>Irán</v>
      </c>
      <c r="E333" s="9" t="str">
        <f ca="1">+WORLDCUP!BD59</f>
        <v>Catar</v>
      </c>
      <c r="F333" s="9" t="str">
        <f ca="1">+WORLDCUP!BD61</f>
        <v>Australia</v>
      </c>
      <c r="G333" s="9" t="str">
        <f ca="1">+WORLDCUP!BD58</f>
        <v>Corea del Sur</v>
      </c>
      <c r="H333" s="9" t="str">
        <f ca="1">+WORLDCUP!BD63</f>
        <v>Suecia</v>
      </c>
      <c r="I333" s="9" t="str">
        <f ca="1">+WORLDCUP!BD69</f>
        <v>Ghana</v>
      </c>
      <c r="J333" s="9" t="str">
        <f ca="1">+WORLDCUP!BD66</f>
        <v>Irak</v>
      </c>
      <c r="N333" s="16" t="s">
        <v>925</v>
      </c>
      <c r="O333" s="16">
        <v>332</v>
      </c>
      <c r="P333" s="16" t="s">
        <v>446</v>
      </c>
      <c r="Q333" s="16" t="s">
        <v>445</v>
      </c>
      <c r="R333" s="16" t="s">
        <v>91</v>
      </c>
      <c r="S333" s="16" t="s">
        <v>93</v>
      </c>
      <c r="T333" s="16" t="s">
        <v>90</v>
      </c>
      <c r="U333" s="16" t="s">
        <v>95</v>
      </c>
      <c r="V333" s="16" t="s">
        <v>453</v>
      </c>
      <c r="W333" s="16" t="s">
        <v>450</v>
      </c>
    </row>
    <row r="334" spans="1:23" x14ac:dyDescent="0.2">
      <c r="A334" s="9" t="s">
        <v>924</v>
      </c>
      <c r="B334" s="9">
        <f ca="1">+IF(A334=WORLDCUP!$BI$112,1,0)</f>
        <v>0</v>
      </c>
      <c r="C334" s="9" t="str">
        <f ca="1">+WORLDCUP!BD65</f>
        <v>Arabia Saudita</v>
      </c>
      <c r="D334" s="9" t="str">
        <f ca="1">+WORLDCUP!BD64</f>
        <v>Irán</v>
      </c>
      <c r="E334" s="9" t="str">
        <f ca="1">+WORLDCUP!BD59</f>
        <v>Catar</v>
      </c>
      <c r="F334" s="9" t="str">
        <f ca="1">+WORLDCUP!BD61</f>
        <v>Australia</v>
      </c>
      <c r="G334" s="9" t="str">
        <f ca="1">+WORLDCUP!BD58</f>
        <v>Corea del Sur</v>
      </c>
      <c r="H334" s="9" t="str">
        <f ca="1">+WORLDCUP!BD63</f>
        <v>Suecia</v>
      </c>
      <c r="I334" s="9" t="str">
        <f ca="1">+WORLDCUP!BD66</f>
        <v>Irak</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x14ac:dyDescent="0.2">
      <c r="A335" s="9" t="s">
        <v>923</v>
      </c>
      <c r="B335" s="9">
        <f ca="1">+IF(A335=WORLDCUP!$BI$112,1,0)</f>
        <v>0</v>
      </c>
      <c r="C335" s="9" t="str">
        <f ca="1">+WORLDCUP!BD65</f>
        <v>Arabia Saudita</v>
      </c>
      <c r="D335" s="9" t="str">
        <f ca="1">+WORLDCUP!BD64</f>
        <v>Irán</v>
      </c>
      <c r="E335" s="9" t="str">
        <f ca="1">+WORLDCUP!BD59</f>
        <v>Catar</v>
      </c>
      <c r="F335" s="9" t="str">
        <f ca="1">+WORLDCUP!BD61</f>
        <v>Australia</v>
      </c>
      <c r="G335" s="9" t="str">
        <f ca="1">+WORLDCUP!BD58</f>
        <v>Corea del Sur</v>
      </c>
      <c r="H335" s="9" t="str">
        <f ca="1">+WORLDCUP!BD63</f>
        <v>Suecia</v>
      </c>
      <c r="I335" s="9" t="str">
        <f ca="1">+WORLDCUP!BD66</f>
        <v>Irak</v>
      </c>
      <c r="J335" s="9" t="str">
        <f ca="1">+WORLDCUP!BD67</f>
        <v>Austria</v>
      </c>
      <c r="N335" s="16" t="s">
        <v>923</v>
      </c>
      <c r="O335" s="16">
        <v>334</v>
      </c>
      <c r="P335" s="16" t="s">
        <v>446</v>
      </c>
      <c r="Q335" s="16" t="s">
        <v>445</v>
      </c>
      <c r="R335" s="16" t="s">
        <v>91</v>
      </c>
      <c r="S335" s="16" t="s">
        <v>93</v>
      </c>
      <c r="T335" s="16" t="s">
        <v>90</v>
      </c>
      <c r="U335" s="16" t="s">
        <v>95</v>
      </c>
      <c r="V335" s="16" t="s">
        <v>450</v>
      </c>
      <c r="W335" s="16" t="s">
        <v>451</v>
      </c>
    </row>
    <row r="336" spans="1:23" x14ac:dyDescent="0.2">
      <c r="A336" s="9" t="s">
        <v>922</v>
      </c>
      <c r="B336" s="9">
        <f ca="1">+IF(A336=WORLDCUP!$BI$112,1,0)</f>
        <v>0</v>
      </c>
      <c r="C336" s="9" t="str">
        <f ca="1">+WORLDCUP!BD62</f>
        <v>Costa de Marfil</v>
      </c>
      <c r="D336" s="9" t="str">
        <f ca="1">+WORLDCUP!BD67</f>
        <v>Austria</v>
      </c>
      <c r="E336" s="9" t="str">
        <f ca="1">+WORLDCUP!BD59</f>
        <v>Catar</v>
      </c>
      <c r="F336" s="9" t="str">
        <f ca="1">+WORLDCUP!BD58</f>
        <v>Corea del Sur</v>
      </c>
      <c r="G336" s="9" t="str">
        <f ca="1">+WORLDCUP!BD66</f>
        <v>Irak</v>
      </c>
      <c r="H336" s="9" t="str">
        <f ca="1">+WORLDCUP!BD61</f>
        <v>Australia</v>
      </c>
      <c r="I336" s="9" t="str">
        <f ca="1">+WORLDCUP!BD69</f>
        <v>Ghana</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x14ac:dyDescent="0.2">
      <c r="A337" s="9" t="s">
        <v>921</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Corea del Sur</v>
      </c>
      <c r="H337" s="9" t="str">
        <f ca="1">+WORLDCUP!BD65</f>
        <v>Arabia Saudita</v>
      </c>
      <c r="I337" s="9" t="str">
        <f ca="1">+WORLDCUP!BD69</f>
        <v>Ghana</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x14ac:dyDescent="0.2">
      <c r="A338" s="9" t="s">
        <v>920</v>
      </c>
      <c r="B338" s="9">
        <f ca="1">+IF(A338=WORLDCUP!$BI$112,1,0)</f>
        <v>0</v>
      </c>
      <c r="C338" s="9" t="str">
        <f ca="1">+WORLDCUP!BD62</f>
        <v>Costa de Marfil</v>
      </c>
      <c r="D338" s="9" t="str">
        <f ca="1">+WORLDCUP!BD66</f>
        <v>Irak</v>
      </c>
      <c r="E338" s="9" t="str">
        <f ca="1">+WORLDCUP!BD59</f>
        <v>Catar</v>
      </c>
      <c r="F338" s="9" t="str">
        <f ca="1">+WORLDCUP!BD61</f>
        <v>Australia</v>
      </c>
      <c r="G338" s="9" t="str">
        <f ca="1">+WORLDCUP!BD58</f>
        <v>Corea del Sur</v>
      </c>
      <c r="H338" s="9" t="str">
        <f ca="1">+WORLDCUP!BD65</f>
        <v>Arabia Saudita</v>
      </c>
      <c r="I338" s="9" t="str">
        <f ca="1">+WORLDCUP!BD69</f>
        <v>Ghana</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x14ac:dyDescent="0.2">
      <c r="A339" s="9" t="s">
        <v>919</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Corea del Sur</v>
      </c>
      <c r="H339" s="9" t="str">
        <f ca="1">+WORLDCUP!BD65</f>
        <v>Arabia Saudita</v>
      </c>
      <c r="I339" s="9" t="str">
        <f ca="1">+WORLDCUP!BD69</f>
        <v>Ghana</v>
      </c>
      <c r="J339" s="9" t="str">
        <f ca="1">+WORLDCUP!BD66</f>
        <v>Irak</v>
      </c>
      <c r="N339" s="16" t="s">
        <v>919</v>
      </c>
      <c r="O339" s="16">
        <v>338</v>
      </c>
      <c r="P339" s="16" t="s">
        <v>94</v>
      </c>
      <c r="Q339" s="16" t="s">
        <v>451</v>
      </c>
      <c r="R339" s="16" t="s">
        <v>91</v>
      </c>
      <c r="S339" s="16" t="s">
        <v>93</v>
      </c>
      <c r="T339" s="16" t="s">
        <v>90</v>
      </c>
      <c r="U339" s="16" t="s">
        <v>446</v>
      </c>
      <c r="V339" s="16" t="s">
        <v>453</v>
      </c>
      <c r="W339" s="16" t="s">
        <v>450</v>
      </c>
    </row>
    <row r="340" spans="1:23" x14ac:dyDescent="0.2">
      <c r="A340" s="9" t="s">
        <v>918</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Corea del Sur</v>
      </c>
      <c r="H340" s="9" t="str">
        <f ca="1">+WORLDCUP!BD65</f>
        <v>Arabia Saudita</v>
      </c>
      <c r="I340" s="9" t="str">
        <f ca="1">+WORLDCUP!BD66</f>
        <v>Irak</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x14ac:dyDescent="0.2">
      <c r="A341" s="9" t="s">
        <v>917</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Corea del Sur</v>
      </c>
      <c r="H341" s="9" t="str">
        <f ca="1">+WORLDCUP!BD64</f>
        <v>Irán</v>
      </c>
      <c r="I341" s="9" t="str">
        <f ca="1">+WORLDCUP!BD69</f>
        <v>Ghana</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x14ac:dyDescent="0.2">
      <c r="A342" s="9" t="s">
        <v>916</v>
      </c>
      <c r="B342" s="9">
        <f ca="1">+IF(A342=WORLDCUP!$BI$112,1,0)</f>
        <v>0</v>
      </c>
      <c r="C342" s="9" t="str">
        <f ca="1">+WORLDCUP!BD62</f>
        <v>Costa de Marfil</v>
      </c>
      <c r="D342" s="9" t="str">
        <f ca="1">+WORLDCUP!BD64</f>
        <v>Irán</v>
      </c>
      <c r="E342" s="9" t="str">
        <f ca="1">+WORLDCUP!BD59</f>
        <v>Catar</v>
      </c>
      <c r="F342" s="9" t="str">
        <f ca="1">+WORLDCUP!BD58</f>
        <v>Corea del Sur</v>
      </c>
      <c r="G342" s="9" t="str">
        <f ca="1">+WORLDCUP!BD66</f>
        <v>Irak</v>
      </c>
      <c r="H342" s="9" t="str">
        <f ca="1">+WORLDCUP!BD61</f>
        <v>Australia</v>
      </c>
      <c r="I342" s="9" t="str">
        <f ca="1">+WORLDCUP!BD69</f>
        <v>Ghana</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x14ac:dyDescent="0.2">
      <c r="A343" s="9" t="s">
        <v>915</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Corea del Sur</v>
      </c>
      <c r="H343" s="9" t="str">
        <f ca="1">+WORLDCUP!BD64</f>
        <v>Irán</v>
      </c>
      <c r="I343" s="9" t="str">
        <f ca="1">+WORLDCUP!BD69</f>
        <v>Ghana</v>
      </c>
      <c r="J343" s="9" t="str">
        <f ca="1">+WORLDCUP!BD66</f>
        <v>Irak</v>
      </c>
      <c r="N343" s="16" t="s">
        <v>915</v>
      </c>
      <c r="O343" s="16">
        <v>342</v>
      </c>
      <c r="P343" s="16" t="s">
        <v>94</v>
      </c>
      <c r="Q343" s="16" t="s">
        <v>451</v>
      </c>
      <c r="R343" s="16" t="s">
        <v>91</v>
      </c>
      <c r="S343" s="16" t="s">
        <v>93</v>
      </c>
      <c r="T343" s="16" t="s">
        <v>90</v>
      </c>
      <c r="U343" s="16" t="s">
        <v>445</v>
      </c>
      <c r="V343" s="16" t="s">
        <v>453</v>
      </c>
      <c r="W343" s="16" t="s">
        <v>450</v>
      </c>
    </row>
    <row r="344" spans="1:23" x14ac:dyDescent="0.2">
      <c r="A344" s="9" t="s">
        <v>914</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Corea del Sur</v>
      </c>
      <c r="H344" s="9" t="str">
        <f ca="1">+WORLDCUP!BD64</f>
        <v>Irán</v>
      </c>
      <c r="I344" s="9" t="str">
        <f ca="1">+WORLDCUP!BD66</f>
        <v>Irak</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x14ac:dyDescent="0.2">
      <c r="A345" s="9" t="s">
        <v>913</v>
      </c>
      <c r="B345" s="9">
        <f ca="1">+IF(A345=WORLDCUP!$BI$112,1,0)</f>
        <v>0</v>
      </c>
      <c r="C345" s="9" t="str">
        <f ca="1">+WORLDCUP!BD62</f>
        <v>Costa de Marfil</v>
      </c>
      <c r="D345" s="9" t="str">
        <f ca="1">+WORLDCUP!BD64</f>
        <v>Irán</v>
      </c>
      <c r="E345" s="9" t="str">
        <f ca="1">+WORLDCUP!BD59</f>
        <v>Catar</v>
      </c>
      <c r="F345" s="9" t="str">
        <f ca="1">+WORLDCUP!BD61</f>
        <v>Australia</v>
      </c>
      <c r="G345" s="9" t="str">
        <f ca="1">+WORLDCUP!BD58</f>
        <v>Corea del Sur</v>
      </c>
      <c r="H345" s="9" t="str">
        <f ca="1">+WORLDCUP!BD65</f>
        <v>Arabia Saudita</v>
      </c>
      <c r="I345" s="9" t="str">
        <f ca="1">+WORLDCUP!BD69</f>
        <v>Ghana</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x14ac:dyDescent="0.2">
      <c r="A346" s="9" t="s">
        <v>912</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x14ac:dyDescent="0.2">
      <c r="A347" s="9" t="s">
        <v>911</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Corea del Sur</v>
      </c>
      <c r="H347" s="9" t="str">
        <f ca="1">+WORLDCUP!BD64</f>
        <v>Irán</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x14ac:dyDescent="0.2">
      <c r="A348" s="9" t="s">
        <v>910</v>
      </c>
      <c r="B348" s="9">
        <f ca="1">+IF(A348=WORLDCUP!$BI$112,1,0)</f>
        <v>0</v>
      </c>
      <c r="C348" s="9" t="str">
        <f ca="1">+WORLDCUP!BD62</f>
        <v>Costa de Marfil</v>
      </c>
      <c r="D348" s="9" t="str">
        <f ca="1">+WORLDCUP!BD64</f>
        <v>Irán</v>
      </c>
      <c r="E348" s="9" t="str">
        <f ca="1">+WORLDCUP!BD59</f>
        <v>Catar</v>
      </c>
      <c r="F348" s="9" t="str">
        <f ca="1">+WORLDCUP!BD61</f>
        <v>Australia</v>
      </c>
      <c r="G348" s="9" t="str">
        <f ca="1">+WORLDCUP!BD58</f>
        <v>Corea del Sur</v>
      </c>
      <c r="H348" s="9" t="str">
        <f ca="1">+WORLDCUP!BD65</f>
        <v>Arabia Saudita</v>
      </c>
      <c r="I348" s="9" t="str">
        <f ca="1">+WORLDCUP!BD69</f>
        <v>Ghana</v>
      </c>
      <c r="J348" s="9" t="str">
        <f ca="1">+WORLDCUP!BD66</f>
        <v>Irak</v>
      </c>
      <c r="N348" s="16" t="s">
        <v>910</v>
      </c>
      <c r="O348" s="16">
        <v>347</v>
      </c>
      <c r="P348" s="16" t="s">
        <v>94</v>
      </c>
      <c r="Q348" s="16" t="s">
        <v>445</v>
      </c>
      <c r="R348" s="16" t="s">
        <v>91</v>
      </c>
      <c r="S348" s="16" t="s">
        <v>93</v>
      </c>
      <c r="T348" s="16" t="s">
        <v>90</v>
      </c>
      <c r="U348" s="16" t="s">
        <v>446</v>
      </c>
      <c r="V348" s="16" t="s">
        <v>453</v>
      </c>
      <c r="W348" s="16" t="s">
        <v>450</v>
      </c>
    </row>
    <row r="349" spans="1:23" x14ac:dyDescent="0.2">
      <c r="A349" s="9" t="s">
        <v>909</v>
      </c>
      <c r="B349" s="9">
        <f ca="1">+IF(A349=WORLDCUP!$BI$112,1,0)</f>
        <v>0</v>
      </c>
      <c r="C349" s="9" t="str">
        <f ca="1">+WORLDCUP!BD62</f>
        <v>Costa de Marfil</v>
      </c>
      <c r="D349" s="9" t="str">
        <f ca="1">+WORLDCUP!BD64</f>
        <v>Irán</v>
      </c>
      <c r="E349" s="9" t="str">
        <f ca="1">+WORLDCUP!BD59</f>
        <v>Catar</v>
      </c>
      <c r="F349" s="9" t="str">
        <f ca="1">+WORLDCUP!BD61</f>
        <v>Australia</v>
      </c>
      <c r="G349" s="9" t="str">
        <f ca="1">+WORLDCUP!BD58</f>
        <v>Corea del Sur</v>
      </c>
      <c r="H349" s="9" t="str">
        <f ca="1">+WORLDCUP!BD65</f>
        <v>Arabia Saudita</v>
      </c>
      <c r="I349" s="9" t="str">
        <f ca="1">+WORLDCUP!BD66</f>
        <v>Irak</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x14ac:dyDescent="0.2">
      <c r="A350" s="9" t="s">
        <v>908</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Corea del Sur</v>
      </c>
      <c r="H350" s="9" t="str">
        <f ca="1">+WORLDCUP!BD64</f>
        <v>Irán</v>
      </c>
      <c r="I350" s="9" t="str">
        <f ca="1">+WORLDCUP!BD62</f>
        <v>Costa de Marfil</v>
      </c>
      <c r="J350" s="9" t="str">
        <f ca="1">+WORLDCUP!BD66</f>
        <v>Irak</v>
      </c>
      <c r="N350" s="16" t="s">
        <v>908</v>
      </c>
      <c r="O350" s="16">
        <v>349</v>
      </c>
      <c r="P350" s="16" t="s">
        <v>446</v>
      </c>
      <c r="Q350" s="16" t="s">
        <v>451</v>
      </c>
      <c r="R350" s="16" t="s">
        <v>91</v>
      </c>
      <c r="S350" s="16" t="s">
        <v>93</v>
      </c>
      <c r="T350" s="16" t="s">
        <v>90</v>
      </c>
      <c r="U350" s="16" t="s">
        <v>445</v>
      </c>
      <c r="V350" s="16" t="s">
        <v>94</v>
      </c>
      <c r="W350" s="16" t="s">
        <v>450</v>
      </c>
    </row>
    <row r="351" spans="1:23" x14ac:dyDescent="0.2">
      <c r="A351" s="9" t="s">
        <v>907</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Corea del Sur</v>
      </c>
      <c r="H351" s="9" t="str">
        <f ca="1">+WORLDCUP!BD63</f>
        <v>Suecia</v>
      </c>
      <c r="I351" s="9" t="str">
        <f ca="1">+WORLDCUP!BD69</f>
        <v>Ghana</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x14ac:dyDescent="0.2">
      <c r="A352" s="9" t="s">
        <v>906</v>
      </c>
      <c r="B352" s="9">
        <f ca="1">+IF(A352=WORLDCUP!$BI$112,1,0)</f>
        <v>0</v>
      </c>
      <c r="C352" s="9" t="str">
        <f ca="1">+WORLDCUP!BD62</f>
        <v>Costa de Marfil</v>
      </c>
      <c r="D352" s="9" t="str">
        <f ca="1">+WORLDCUP!BD66</f>
        <v>Irak</v>
      </c>
      <c r="E352" s="9" t="str">
        <f ca="1">+WORLDCUP!BD59</f>
        <v>Catar</v>
      </c>
      <c r="F352" s="9" t="str">
        <f ca="1">+WORLDCUP!BD61</f>
        <v>Australia</v>
      </c>
      <c r="G352" s="9" t="str">
        <f ca="1">+WORLDCUP!BD58</f>
        <v>Corea del Sur</v>
      </c>
      <c r="H352" s="9" t="str">
        <f ca="1">+WORLDCUP!BD63</f>
        <v>Suecia</v>
      </c>
      <c r="I352" s="9" t="str">
        <f ca="1">+WORLDCUP!BD69</f>
        <v>Ghana</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x14ac:dyDescent="0.2">
      <c r="A353" s="9" t="s">
        <v>905</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Corea del Sur</v>
      </c>
      <c r="H353" s="9" t="str">
        <f ca="1">+WORLDCUP!BD63</f>
        <v>Suecia</v>
      </c>
      <c r="I353" s="9" t="str">
        <f ca="1">+WORLDCUP!BD69</f>
        <v>Ghana</v>
      </c>
      <c r="J353" s="9" t="str">
        <f ca="1">+WORLDCUP!BD66</f>
        <v>Irak</v>
      </c>
      <c r="N353" s="16" t="s">
        <v>905</v>
      </c>
      <c r="O353" s="16">
        <v>352</v>
      </c>
      <c r="P353" s="16" t="s">
        <v>94</v>
      </c>
      <c r="Q353" s="16" t="s">
        <v>451</v>
      </c>
      <c r="R353" s="16" t="s">
        <v>91</v>
      </c>
      <c r="S353" s="16" t="s">
        <v>93</v>
      </c>
      <c r="T353" s="16" t="s">
        <v>90</v>
      </c>
      <c r="U353" s="16" t="s">
        <v>95</v>
      </c>
      <c r="V353" s="16" t="s">
        <v>453</v>
      </c>
      <c r="W353" s="16" t="s">
        <v>450</v>
      </c>
    </row>
    <row r="354" spans="1:23" x14ac:dyDescent="0.2">
      <c r="A354" s="9" t="s">
        <v>904</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Corea del Sur</v>
      </c>
      <c r="H354" s="9" t="str">
        <f ca="1">+WORLDCUP!BD63</f>
        <v>Suecia</v>
      </c>
      <c r="I354" s="9" t="str">
        <f ca="1">+WORLDCUP!BD66</f>
        <v>Irak</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x14ac:dyDescent="0.2">
      <c r="A355" s="9" t="s">
        <v>903</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Corea del Sur</v>
      </c>
      <c r="H355" s="9" t="str">
        <f ca="1">+WORLDCUP!BD63</f>
        <v>Suecia</v>
      </c>
      <c r="I355" s="9" t="str">
        <f ca="1">+WORLDCUP!BD69</f>
        <v>Ghana</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x14ac:dyDescent="0.2">
      <c r="A356" s="9" t="s">
        <v>902</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Corea del Sur</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x14ac:dyDescent="0.2">
      <c r="A357" s="9" t="s">
        <v>901</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Corea del Sur</v>
      </c>
      <c r="H357" s="9" t="str">
        <f ca="1">+WORLDCUP!BD63</f>
        <v>Suecia</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x14ac:dyDescent="0.2">
      <c r="A358" s="9" t="s">
        <v>900</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Corea del Sur</v>
      </c>
      <c r="H358" s="9" t="str">
        <f ca="1">+WORLDCUP!BD63</f>
        <v>Suecia</v>
      </c>
      <c r="I358" s="9" t="str">
        <f ca="1">+WORLDCUP!BD69</f>
        <v>Ghana</v>
      </c>
      <c r="J358" s="9" t="str">
        <f ca="1">+WORLDCUP!BD66</f>
        <v>Irak</v>
      </c>
      <c r="N358" s="16" t="s">
        <v>900</v>
      </c>
      <c r="O358" s="16">
        <v>357</v>
      </c>
      <c r="P358" s="16" t="s">
        <v>446</v>
      </c>
      <c r="Q358" s="16" t="s">
        <v>94</v>
      </c>
      <c r="R358" s="16" t="s">
        <v>91</v>
      </c>
      <c r="S358" s="16" t="s">
        <v>93</v>
      </c>
      <c r="T358" s="16" t="s">
        <v>90</v>
      </c>
      <c r="U358" s="16" t="s">
        <v>95</v>
      </c>
      <c r="V358" s="16" t="s">
        <v>453</v>
      </c>
      <c r="W358" s="16" t="s">
        <v>450</v>
      </c>
    </row>
    <row r="359" spans="1:23" x14ac:dyDescent="0.2">
      <c r="A359" s="9" t="s">
        <v>899</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Corea del Sur</v>
      </c>
      <c r="H359" s="9" t="str">
        <f ca="1">+WORLDCUP!BD63</f>
        <v>Suecia</v>
      </c>
      <c r="I359" s="9" t="str">
        <f ca="1">+WORLDCUP!BD66</f>
        <v>Irak</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x14ac:dyDescent="0.2">
      <c r="A360" s="9" t="s">
        <v>898</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Corea del Sur</v>
      </c>
      <c r="H360" s="9" t="str">
        <f ca="1">+WORLDCUP!BD63</f>
        <v>Suecia</v>
      </c>
      <c r="I360" s="9" t="str">
        <f ca="1">+WORLDCUP!BD62</f>
        <v>Costa de Marfil</v>
      </c>
      <c r="J360" s="9" t="str">
        <f ca="1">+WORLDCUP!BD66</f>
        <v>Irak</v>
      </c>
      <c r="N360" s="16" t="s">
        <v>898</v>
      </c>
      <c r="O360" s="16">
        <v>359</v>
      </c>
      <c r="P360" s="16" t="s">
        <v>446</v>
      </c>
      <c r="Q360" s="16" t="s">
        <v>451</v>
      </c>
      <c r="R360" s="16" t="s">
        <v>91</v>
      </c>
      <c r="S360" s="16" t="s">
        <v>93</v>
      </c>
      <c r="T360" s="16" t="s">
        <v>90</v>
      </c>
      <c r="U360" s="16" t="s">
        <v>95</v>
      </c>
      <c r="V360" s="16" t="s">
        <v>94</v>
      </c>
      <c r="W360" s="16" t="s">
        <v>450</v>
      </c>
    </row>
    <row r="361" spans="1:23" x14ac:dyDescent="0.2">
      <c r="A361" s="9" t="s">
        <v>897</v>
      </c>
      <c r="B361" s="9">
        <f ca="1">+IF(A361=WORLDCUP!$BI$112,1,0)</f>
        <v>0</v>
      </c>
      <c r="C361" s="9" t="str">
        <f ca="1">+WORLDCUP!BD62</f>
        <v>Costa de Marfil</v>
      </c>
      <c r="D361" s="9" t="str">
        <f ca="1">+WORLDCUP!BD64</f>
        <v>Irán</v>
      </c>
      <c r="E361" s="9" t="str">
        <f ca="1">+WORLDCUP!BD59</f>
        <v>Catar</v>
      </c>
      <c r="F361" s="9" t="str">
        <f ca="1">+WORLDCUP!BD61</f>
        <v>Australia</v>
      </c>
      <c r="G361" s="9" t="str">
        <f ca="1">+WORLDCUP!BD58</f>
        <v>Corea del Sur</v>
      </c>
      <c r="H361" s="9" t="str">
        <f ca="1">+WORLDCUP!BD63</f>
        <v>Suecia</v>
      </c>
      <c r="I361" s="9" t="str">
        <f ca="1">+WORLDCUP!BD69</f>
        <v>Ghana</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x14ac:dyDescent="0.2">
      <c r="A362" s="9" t="s">
        <v>896</v>
      </c>
      <c r="B362" s="9">
        <f ca="1">+IF(A362=WORLDCUP!$BI$112,1,0)</f>
        <v>0</v>
      </c>
      <c r="C362" s="9" t="str">
        <f ca="1">+WORLDCUP!BD62</f>
        <v>Costa de Marfil</v>
      </c>
      <c r="D362" s="9" t="str">
        <f ca="1">+WORLDCUP!BD64</f>
        <v>Irán</v>
      </c>
      <c r="E362" s="9" t="str">
        <f ca="1">+WORLDCUP!BD59</f>
        <v>Catar</v>
      </c>
      <c r="F362" s="9" t="str">
        <f ca="1">+WORLDCUP!BD61</f>
        <v>Australia</v>
      </c>
      <c r="G362" s="9" t="str">
        <f ca="1">+WORLDCUP!BD58</f>
        <v>Corea del Sur</v>
      </c>
      <c r="H362" s="9" t="str">
        <f ca="1">+WORLDCUP!BD63</f>
        <v>Suecia</v>
      </c>
      <c r="I362" s="9" t="str">
        <f ca="1">+WORLDCUP!BD69</f>
        <v>Ghana</v>
      </c>
      <c r="J362" s="9" t="str">
        <f ca="1">+WORLDCUP!BD67</f>
        <v>Austria</v>
      </c>
      <c r="N362" s="16" t="s">
        <v>896</v>
      </c>
      <c r="O362" s="16">
        <v>361</v>
      </c>
      <c r="P362" s="16" t="s">
        <v>94</v>
      </c>
      <c r="Q362" s="16" t="s">
        <v>445</v>
      </c>
      <c r="R362" s="16" t="s">
        <v>91</v>
      </c>
      <c r="S362" s="16" t="s">
        <v>93</v>
      </c>
      <c r="T362" s="16" t="s">
        <v>90</v>
      </c>
      <c r="U362" s="16" t="s">
        <v>95</v>
      </c>
      <c r="V362" s="16" t="s">
        <v>453</v>
      </c>
      <c r="W362" s="16" t="s">
        <v>451</v>
      </c>
    </row>
    <row r="363" spans="1:23" x14ac:dyDescent="0.2">
      <c r="A363" s="9" t="s">
        <v>895</v>
      </c>
      <c r="B363" s="9">
        <f ca="1">+IF(A363=WORLDCUP!$BI$112,1,0)</f>
        <v>0</v>
      </c>
      <c r="C363" s="9" t="str">
        <f ca="1">+WORLDCUP!BD62</f>
        <v>Costa de Marfil</v>
      </c>
      <c r="D363" s="9" t="str">
        <f ca="1">+WORLDCUP!BD64</f>
        <v>Irán</v>
      </c>
      <c r="E363" s="9" t="str">
        <f ca="1">+WORLDCUP!BD59</f>
        <v>Catar</v>
      </c>
      <c r="F363" s="9" t="str">
        <f ca="1">+WORLDCUP!BD61</f>
        <v>Australia</v>
      </c>
      <c r="G363" s="9" t="str">
        <f ca="1">+WORLDCUP!BD58</f>
        <v>Corea del Sur</v>
      </c>
      <c r="H363" s="9" t="str">
        <f ca="1">+WORLDCUP!BD63</f>
        <v>Suecia</v>
      </c>
      <c r="I363" s="9" t="str">
        <f ca="1">+WORLDCUP!BD67</f>
        <v>Austria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x14ac:dyDescent="0.2">
      <c r="A364" s="9" t="s">
        <v>894</v>
      </c>
      <c r="B364" s="9">
        <f ca="1">+IF(A364=WORLDCUP!$BI$112,1,0)</f>
        <v>0</v>
      </c>
      <c r="C364" s="9" t="str">
        <f ca="1">+WORLDCUP!BD62</f>
        <v>Costa de Marfil</v>
      </c>
      <c r="D364" s="9" t="str">
        <f ca="1">+WORLDCUP!BD64</f>
        <v>Irán</v>
      </c>
      <c r="E364" s="9" t="str">
        <f ca="1">+WORLDCUP!BD59</f>
        <v>Catar</v>
      </c>
      <c r="F364" s="9" t="str">
        <f ca="1">+WORLDCUP!BD61</f>
        <v>Australia</v>
      </c>
      <c r="G364" s="9" t="str">
        <f ca="1">+WORLDCUP!BD58</f>
        <v>Corea del Sur</v>
      </c>
      <c r="H364" s="9" t="str">
        <f ca="1">+WORLDCUP!BD63</f>
        <v>Suecia</v>
      </c>
      <c r="I364" s="9" t="str">
        <f ca="1">+WORLDCUP!BD69</f>
        <v>Ghana</v>
      </c>
      <c r="J364" s="9" t="str">
        <f ca="1">+WORLDCUP!BD66</f>
        <v>Irak</v>
      </c>
      <c r="N364" s="16" t="s">
        <v>894</v>
      </c>
      <c r="O364" s="16">
        <v>363</v>
      </c>
      <c r="P364" s="16" t="s">
        <v>94</v>
      </c>
      <c r="Q364" s="16" t="s">
        <v>445</v>
      </c>
      <c r="R364" s="16" t="s">
        <v>91</v>
      </c>
      <c r="S364" s="16" t="s">
        <v>93</v>
      </c>
      <c r="T364" s="16" t="s">
        <v>90</v>
      </c>
      <c r="U364" s="16" t="s">
        <v>95</v>
      </c>
      <c r="V364" s="16" t="s">
        <v>453</v>
      </c>
      <c r="W364" s="16" t="s">
        <v>450</v>
      </c>
    </row>
    <row r="365" spans="1:23" x14ac:dyDescent="0.2">
      <c r="A365" s="9" t="s">
        <v>893</v>
      </c>
      <c r="B365" s="9">
        <f ca="1">+IF(A365=WORLDCUP!$BI$112,1,0)</f>
        <v>0</v>
      </c>
      <c r="C365" s="9" t="str">
        <f ca="1">+WORLDCUP!BD62</f>
        <v>Costa de Marfil</v>
      </c>
      <c r="D365" s="9" t="str">
        <f ca="1">+WORLDCUP!BD64</f>
        <v>Irán</v>
      </c>
      <c r="E365" s="9" t="str">
        <f ca="1">+WORLDCUP!BD59</f>
        <v>Catar</v>
      </c>
      <c r="F365" s="9" t="str">
        <f ca="1">+WORLDCUP!BD61</f>
        <v>Australia</v>
      </c>
      <c r="G365" s="9" t="str">
        <f ca="1">+WORLDCUP!BD58</f>
        <v>Corea del Sur</v>
      </c>
      <c r="H365" s="9" t="str">
        <f ca="1">+WORLDCUP!BD63</f>
        <v>Suecia</v>
      </c>
      <c r="I365" s="9" t="str">
        <f ca="1">+WORLDCUP!BD66</f>
        <v>Irak</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x14ac:dyDescent="0.2">
      <c r="A366" s="9" t="s">
        <v>892</v>
      </c>
      <c r="B366" s="9">
        <f ca="1">+IF(A366=WORLDCUP!$BI$112,1,0)</f>
        <v>0</v>
      </c>
      <c r="C366" s="9" t="str">
        <f ca="1">+WORLDCUP!BD62</f>
        <v>Costa de Marfil</v>
      </c>
      <c r="D366" s="9" t="str">
        <f ca="1">+WORLDCUP!BD64</f>
        <v>Irán</v>
      </c>
      <c r="E366" s="9" t="str">
        <f ca="1">+WORLDCUP!BD59</f>
        <v>Catar</v>
      </c>
      <c r="F366" s="9" t="str">
        <f ca="1">+WORLDCUP!BD61</f>
        <v>Australia</v>
      </c>
      <c r="G366" s="9" t="str">
        <f ca="1">+WORLDCUP!BD58</f>
        <v>Corea del Sur</v>
      </c>
      <c r="H366" s="9" t="str">
        <f ca="1">+WORLDCUP!BD63</f>
        <v>Suecia</v>
      </c>
      <c r="I366" s="9" t="str">
        <f ca="1">+WORLDCUP!BD66</f>
        <v>Irak</v>
      </c>
      <c r="J366" s="9" t="str">
        <f ca="1">+WORLDCUP!BD67</f>
        <v>Austria</v>
      </c>
      <c r="N366" s="16" t="s">
        <v>892</v>
      </c>
      <c r="O366" s="16">
        <v>365</v>
      </c>
      <c r="P366" s="16" t="s">
        <v>94</v>
      </c>
      <c r="Q366" s="16" t="s">
        <v>445</v>
      </c>
      <c r="R366" s="16" t="s">
        <v>91</v>
      </c>
      <c r="S366" s="16" t="s">
        <v>93</v>
      </c>
      <c r="T366" s="16" t="s">
        <v>90</v>
      </c>
      <c r="U366" s="16" t="s">
        <v>95</v>
      </c>
      <c r="V366" s="16" t="s">
        <v>450</v>
      </c>
      <c r="W366" s="16" t="s">
        <v>451</v>
      </c>
    </row>
    <row r="367" spans="1:23" x14ac:dyDescent="0.2">
      <c r="A367" s="9" t="s">
        <v>891</v>
      </c>
      <c r="B367" s="9">
        <f ca="1">+IF(A367=WORLDCUP!$BI$112,1,0)</f>
        <v>0</v>
      </c>
      <c r="C367" s="9" t="str">
        <f ca="1">+WORLDCUP!BD65</f>
        <v>Arabia Saudita</v>
      </c>
      <c r="D367" s="9" t="str">
        <f ca="1">+WORLDCUP!BD64</f>
        <v>Irán</v>
      </c>
      <c r="E367" s="9" t="str">
        <f ca="1">+WORLDCUP!BD59</f>
        <v>Catar</v>
      </c>
      <c r="F367" s="9" t="str">
        <f ca="1">+WORLDCUP!BD61</f>
        <v>Australia</v>
      </c>
      <c r="G367" s="9" t="str">
        <f ca="1">+WORLDCUP!BD58</f>
        <v>Corea del Sur</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x14ac:dyDescent="0.2">
      <c r="A368" s="9" t="s">
        <v>890</v>
      </c>
      <c r="B368" s="9">
        <f ca="1">+IF(A368=WORLDCUP!$BI$112,1,0)</f>
        <v>0</v>
      </c>
      <c r="C368" s="9" t="str">
        <f ca="1">+WORLDCUP!BD65</f>
        <v>Arabia Saudita</v>
      </c>
      <c r="D368" s="9" t="str">
        <f ca="1">+WORLDCUP!BD64</f>
        <v>Irán</v>
      </c>
      <c r="E368" s="9" t="str">
        <f ca="1">+WORLDCUP!BD59</f>
        <v>Catar</v>
      </c>
      <c r="F368" s="9" t="str">
        <f ca="1">+WORLDCUP!BD61</f>
        <v>Australia</v>
      </c>
      <c r="G368" s="9" t="str">
        <f ca="1">+WORLDCUP!BD58</f>
        <v>Corea del Sur</v>
      </c>
      <c r="H368" s="9" t="str">
        <f ca="1">+WORLDCUP!BD63</f>
        <v>Suecia</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x14ac:dyDescent="0.2">
      <c r="A369" s="9" t="s">
        <v>889</v>
      </c>
      <c r="B369" s="9">
        <f ca="1">+IF(A369=WORLDCUP!$BI$112,1,0)</f>
        <v>0</v>
      </c>
      <c r="C369" s="9" t="str">
        <f ca="1">+WORLDCUP!BD65</f>
        <v>Arabia Saudita</v>
      </c>
      <c r="D369" s="9" t="str">
        <f ca="1">+WORLDCUP!BD64</f>
        <v>Irán</v>
      </c>
      <c r="E369" s="9" t="str">
        <f ca="1">+WORLDCUP!BD59</f>
        <v>Catar</v>
      </c>
      <c r="F369" s="9" t="str">
        <f ca="1">+WORLDCUP!BD61</f>
        <v>Australia</v>
      </c>
      <c r="G369" s="9" t="str">
        <f ca="1">+WORLDCUP!BD58</f>
        <v>Corea del Sur</v>
      </c>
      <c r="H369" s="9" t="str">
        <f ca="1">+WORLDCUP!BD63</f>
        <v>Suecia</v>
      </c>
      <c r="I369" s="9" t="str">
        <f ca="1">+WORLDCUP!BD62</f>
        <v>Costa de Marfil</v>
      </c>
      <c r="J369" s="9" t="str">
        <f ca="1">+WORLDCUP!BD67</f>
        <v>Austria</v>
      </c>
      <c r="N369" s="16" t="s">
        <v>889</v>
      </c>
      <c r="O369" s="16">
        <v>368</v>
      </c>
      <c r="P369" s="16" t="s">
        <v>446</v>
      </c>
      <c r="Q369" s="16" t="s">
        <v>445</v>
      </c>
      <c r="R369" s="16" t="s">
        <v>91</v>
      </c>
      <c r="S369" s="16" t="s">
        <v>93</v>
      </c>
      <c r="T369" s="16" t="s">
        <v>90</v>
      </c>
      <c r="U369" s="16" t="s">
        <v>95</v>
      </c>
      <c r="V369" s="16" t="s">
        <v>94</v>
      </c>
      <c r="W369" s="16" t="s">
        <v>451</v>
      </c>
    </row>
    <row r="370" spans="1:23" x14ac:dyDescent="0.2">
      <c r="A370" s="9" t="s">
        <v>888</v>
      </c>
      <c r="B370" s="9">
        <f ca="1">+IF(A370=WORLDCUP!$BI$112,1,0)</f>
        <v>0</v>
      </c>
      <c r="C370" s="9" t="str">
        <f ca="1">+WORLDCUP!BD65</f>
        <v>Arabia Saudita</v>
      </c>
      <c r="D370" s="9" t="str">
        <f ca="1">+WORLDCUP!BD64</f>
        <v>Irán</v>
      </c>
      <c r="E370" s="9" t="str">
        <f ca="1">+WORLDCUP!BD59</f>
        <v>Catar</v>
      </c>
      <c r="F370" s="9" t="str">
        <f ca="1">+WORLDCUP!BD61</f>
        <v>Australia</v>
      </c>
      <c r="G370" s="9" t="str">
        <f ca="1">+WORLDCUP!BD58</f>
        <v>Corea del Sur</v>
      </c>
      <c r="H370" s="9" t="str">
        <f ca="1">+WORLDCUP!BD63</f>
        <v>Suecia</v>
      </c>
      <c r="I370" s="9" t="str">
        <f ca="1">+WORLDCUP!BD62</f>
        <v>Costa de Marfil</v>
      </c>
      <c r="J370" s="9" t="str">
        <f ca="1">+WORLDCUP!BD66</f>
        <v>Irak</v>
      </c>
      <c r="N370" s="16" t="s">
        <v>888</v>
      </c>
      <c r="O370" s="16">
        <v>369</v>
      </c>
      <c r="P370" s="16" t="s">
        <v>446</v>
      </c>
      <c r="Q370" s="16" t="s">
        <v>445</v>
      </c>
      <c r="R370" s="16" t="s">
        <v>91</v>
      </c>
      <c r="S370" s="16" t="s">
        <v>93</v>
      </c>
      <c r="T370" s="16" t="s">
        <v>90</v>
      </c>
      <c r="U370" s="16" t="s">
        <v>95</v>
      </c>
      <c r="V370" s="16" t="s">
        <v>94</v>
      </c>
      <c r="W370" s="16" t="s">
        <v>450</v>
      </c>
    </row>
    <row r="371" spans="1:23" x14ac:dyDescent="0.2">
      <c r="A371" s="9" t="s">
        <v>887</v>
      </c>
      <c r="B371" s="9">
        <f ca="1">+IF(A371=WORLDCUP!$BI$112,1,0)</f>
        <v>0</v>
      </c>
      <c r="C371" s="9" t="str">
        <f ca="1">+WORLDCUP!BD66</f>
        <v>Irak</v>
      </c>
      <c r="D371" s="9" t="str">
        <f ca="1">+WORLDCUP!BD67</f>
        <v>Austria</v>
      </c>
      <c r="E371" s="9" t="str">
        <f ca="1">+WORLDCUP!BD59</f>
        <v>Catar</v>
      </c>
      <c r="F371" s="9" t="str">
        <f ca="1">+WORLDCUP!BD60</f>
        <v>Haití</v>
      </c>
      <c r="G371" s="9" t="str">
        <f ca="1">+WORLDCUP!BD58</f>
        <v>Corea del Sur</v>
      </c>
      <c r="H371" s="9" t="str">
        <f ca="1">+WORLDCUP!BD65</f>
        <v>Arabia Saudita</v>
      </c>
      <c r="I371" s="9" t="str">
        <f ca="1">+WORLDCUP!BD69</f>
        <v>Ghana</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x14ac:dyDescent="0.2">
      <c r="A372" s="9" t="s">
        <v>886</v>
      </c>
      <c r="B372" s="9">
        <f ca="1">+IF(A372=WORLDCUP!$BI$112,1,0)</f>
        <v>0</v>
      </c>
      <c r="C372" s="9" t="str">
        <f ca="1">+WORLDCUP!BD66</f>
        <v>Irak</v>
      </c>
      <c r="D372" s="9" t="str">
        <f ca="1">+WORLDCUP!BD67</f>
        <v>Austria</v>
      </c>
      <c r="E372" s="9" t="str">
        <f ca="1">+WORLDCUP!BD59</f>
        <v>Catar</v>
      </c>
      <c r="F372" s="9" t="str">
        <f ca="1">+WORLDCUP!BD60</f>
        <v>Haití</v>
      </c>
      <c r="G372" s="9" t="str">
        <f ca="1">+WORLDCUP!BD58</f>
        <v>Corea del Sur</v>
      </c>
      <c r="H372" s="9" t="str">
        <f ca="1">+WORLDCUP!BD64</f>
        <v>Irán</v>
      </c>
      <c r="I372" s="9" t="str">
        <f ca="1">+WORLDCUP!BD69</f>
        <v>Ghana</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x14ac:dyDescent="0.2">
      <c r="A373" s="9" t="s">
        <v>885</v>
      </c>
      <c r="B373" s="9">
        <f ca="1">+IF(A373=WORLDCUP!$BI$112,1,0)</f>
        <v>0</v>
      </c>
      <c r="C373" s="9" t="str">
        <f ca="1">+WORLDCUP!BD65</f>
        <v>Arabia Saudita</v>
      </c>
      <c r="D373" s="9" t="str">
        <f ca="1">+WORLDCUP!BD67</f>
        <v>Austria</v>
      </c>
      <c r="E373" s="9" t="str">
        <f ca="1">+WORLDCUP!BD59</f>
        <v>Catar</v>
      </c>
      <c r="F373" s="9" t="str">
        <f ca="1">+WORLDCUP!BD60</f>
        <v>Haití</v>
      </c>
      <c r="G373" s="9" t="str">
        <f ca="1">+WORLDCUP!BD58</f>
        <v>Corea del Sur</v>
      </c>
      <c r="H373" s="9" t="str">
        <f ca="1">+WORLDCUP!BD64</f>
        <v>Irán</v>
      </c>
      <c r="I373" s="9" t="str">
        <f ca="1">+WORLDCUP!BD69</f>
        <v>Ghana</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x14ac:dyDescent="0.2">
      <c r="A374" s="9" t="s">
        <v>884</v>
      </c>
      <c r="B374" s="9">
        <f ca="1">+IF(A374=WORLDCUP!$BI$112,1,0)</f>
        <v>0</v>
      </c>
      <c r="C374" s="9" t="str">
        <f ca="1">+WORLDCUP!BD66</f>
        <v>Irak</v>
      </c>
      <c r="D374" s="9" t="str">
        <f ca="1">+WORLDCUP!BD64</f>
        <v>Irán</v>
      </c>
      <c r="E374" s="9" t="str">
        <f ca="1">+WORLDCUP!BD59</f>
        <v>Catar</v>
      </c>
      <c r="F374" s="9" t="str">
        <f ca="1">+WORLDCUP!BD60</f>
        <v>Haití</v>
      </c>
      <c r="G374" s="9" t="str">
        <f ca="1">+WORLDCUP!BD58</f>
        <v>Corea del Sur</v>
      </c>
      <c r="H374" s="9" t="str">
        <f ca="1">+WORLDCUP!BD65</f>
        <v>Arabia Saudita</v>
      </c>
      <c r="I374" s="9" t="str">
        <f ca="1">+WORLDCUP!BD69</f>
        <v>Ghana</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x14ac:dyDescent="0.2">
      <c r="A375" s="9" t="s">
        <v>883</v>
      </c>
      <c r="B375" s="9">
        <f ca="1">+IF(A375=WORLDCUP!$BI$112,1,0)</f>
        <v>0</v>
      </c>
      <c r="C375" s="9" t="str">
        <f ca="1">+WORLDCUP!BD65</f>
        <v>Arabia Saudita</v>
      </c>
      <c r="D375" s="9" t="str">
        <f ca="1">+WORLDCUP!BD67</f>
        <v>Austria</v>
      </c>
      <c r="E375" s="9" t="str">
        <f ca="1">+WORLDCUP!BD59</f>
        <v>Catar</v>
      </c>
      <c r="F375" s="9" t="str">
        <f ca="1">+WORLDCUP!BD60</f>
        <v>Haití</v>
      </c>
      <c r="G375" s="9" t="str">
        <f ca="1">+WORLDCUP!BD58</f>
        <v>Corea del Sur</v>
      </c>
      <c r="H375" s="9" t="str">
        <f ca="1">+WORLDCUP!BD64</f>
        <v>Irán</v>
      </c>
      <c r="I375" s="9" t="str">
        <f ca="1">+WORLDCUP!BD69</f>
        <v>Ghana</v>
      </c>
      <c r="J375" s="9" t="str">
        <f ca="1">+WORLDCUP!BD66</f>
        <v>Irak</v>
      </c>
      <c r="N375" s="16" t="s">
        <v>883</v>
      </c>
      <c r="O375" s="16">
        <v>374</v>
      </c>
      <c r="P375" s="16" t="s">
        <v>446</v>
      </c>
      <c r="Q375" s="16" t="s">
        <v>451</v>
      </c>
      <c r="R375" s="16" t="s">
        <v>91</v>
      </c>
      <c r="S375" s="16" t="s">
        <v>92</v>
      </c>
      <c r="T375" s="16" t="s">
        <v>90</v>
      </c>
      <c r="U375" s="16" t="s">
        <v>445</v>
      </c>
      <c r="V375" s="16" t="s">
        <v>453</v>
      </c>
      <c r="W375" s="16" t="s">
        <v>450</v>
      </c>
    </row>
    <row r="376" spans="1:23" x14ac:dyDescent="0.2">
      <c r="A376" s="9" t="s">
        <v>882</v>
      </c>
      <c r="B376" s="9">
        <f ca="1">+IF(A376=WORLDCUP!$BI$112,1,0)</f>
        <v>0</v>
      </c>
      <c r="C376" s="9" t="str">
        <f ca="1">+WORLDCUP!BD65</f>
        <v>Arabia Saudita</v>
      </c>
      <c r="D376" s="9" t="str">
        <f ca="1">+WORLDCUP!BD67</f>
        <v>Austria</v>
      </c>
      <c r="E376" s="9" t="str">
        <f ca="1">+WORLDCUP!BD59</f>
        <v>Catar</v>
      </c>
      <c r="F376" s="9" t="str">
        <f ca="1">+WORLDCUP!BD60</f>
        <v>Haití</v>
      </c>
      <c r="G376" s="9" t="str">
        <f ca="1">+WORLDCUP!BD58</f>
        <v>Corea del Sur</v>
      </c>
      <c r="H376" s="9" t="str">
        <f ca="1">+WORLDCUP!BD64</f>
        <v>Irán</v>
      </c>
      <c r="I376" s="9" t="str">
        <f ca="1">+WORLDCUP!BD66</f>
        <v>Irak</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x14ac:dyDescent="0.2">
      <c r="A377" s="9" t="s">
        <v>881</v>
      </c>
      <c r="B377" s="9">
        <f ca="1">+IF(A377=WORLDCUP!$BI$112,1,0)</f>
        <v>0</v>
      </c>
      <c r="C377" s="9" t="str">
        <f ca="1">+WORLDCUP!BD66</f>
        <v>Irak</v>
      </c>
      <c r="D377" s="9" t="str">
        <f ca="1">+WORLDCUP!BD67</f>
        <v>Austria</v>
      </c>
      <c r="E377" s="9" t="str">
        <f ca="1">+WORLDCUP!BD59</f>
        <v>Catar</v>
      </c>
      <c r="F377" s="9" t="str">
        <f ca="1">+WORLDCUP!BD60</f>
        <v>Haití</v>
      </c>
      <c r="G377" s="9" t="str">
        <f ca="1">+WORLDCUP!BD58</f>
        <v>Corea del Sur</v>
      </c>
      <c r="H377" s="9" t="str">
        <f ca="1">+WORLDCUP!BD63</f>
        <v>Suecia</v>
      </c>
      <c r="I377" s="9" t="str">
        <f ca="1">+WORLDCUP!BD69</f>
        <v>Ghana</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x14ac:dyDescent="0.2">
      <c r="A378" s="9" t="s">
        <v>880</v>
      </c>
      <c r="B378" s="9">
        <f ca="1">+IF(A378=WORLDCUP!$BI$112,1,0)</f>
        <v>0</v>
      </c>
      <c r="C378" s="9" t="str">
        <f ca="1">+WORLDCUP!BD65</f>
        <v>Arabia Saudita</v>
      </c>
      <c r="D378" s="9" t="str">
        <f ca="1">+WORLDCUP!BD67</f>
        <v>Austria</v>
      </c>
      <c r="E378" s="9" t="str">
        <f ca="1">+WORLDCUP!BD59</f>
        <v>Catar</v>
      </c>
      <c r="F378" s="9" t="str">
        <f ca="1">+WORLDCUP!BD60</f>
        <v>Haití</v>
      </c>
      <c r="G378" s="9" t="str">
        <f ca="1">+WORLDCUP!BD58</f>
        <v>Corea del Sur</v>
      </c>
      <c r="H378" s="9" t="str">
        <f ca="1">+WORLDCUP!BD63</f>
        <v>Suecia</v>
      </c>
      <c r="I378" s="9" t="str">
        <f ca="1">+WORLDCUP!BD69</f>
        <v>Ghana</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x14ac:dyDescent="0.2">
      <c r="A379" s="9" t="s">
        <v>879</v>
      </c>
      <c r="B379" s="9">
        <f ca="1">+IF(A379=WORLDCUP!$BI$112,1,0)</f>
        <v>0</v>
      </c>
      <c r="C379" s="9" t="str">
        <f ca="1">+WORLDCUP!BD65</f>
        <v>Arabia Saudita</v>
      </c>
      <c r="D379" s="9" t="str">
        <f ca="1">+WORLDCUP!BD66</f>
        <v>Irak</v>
      </c>
      <c r="E379" s="9" t="str">
        <f ca="1">+WORLDCUP!BD59</f>
        <v>Catar</v>
      </c>
      <c r="F379" s="9" t="str">
        <f ca="1">+WORLDCUP!BD60</f>
        <v>Haití</v>
      </c>
      <c r="G379" s="9" t="str">
        <f ca="1">+WORLDCUP!BD58</f>
        <v>Corea del Sur</v>
      </c>
      <c r="H379" s="9" t="str">
        <f ca="1">+WORLDCUP!BD63</f>
        <v>Suecia</v>
      </c>
      <c r="I379" s="9" t="str">
        <f ca="1">+WORLDCUP!BD69</f>
        <v>Ghana</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x14ac:dyDescent="0.2">
      <c r="A380" s="9" t="s">
        <v>878</v>
      </c>
      <c r="B380" s="9">
        <f ca="1">+IF(A380=WORLDCUP!$BI$112,1,0)</f>
        <v>0</v>
      </c>
      <c r="C380" s="9" t="str">
        <f ca="1">+WORLDCUP!BD65</f>
        <v>Arabia Saudita</v>
      </c>
      <c r="D380" s="9" t="str">
        <f ca="1">+WORLDCUP!BD67</f>
        <v>Austria</v>
      </c>
      <c r="E380" s="9" t="str">
        <f ca="1">+WORLDCUP!BD59</f>
        <v>Catar</v>
      </c>
      <c r="F380" s="9" t="str">
        <f ca="1">+WORLDCUP!BD60</f>
        <v>Haití</v>
      </c>
      <c r="G380" s="9" t="str">
        <f ca="1">+WORLDCUP!BD58</f>
        <v>Corea del Sur</v>
      </c>
      <c r="H380" s="9" t="str">
        <f ca="1">+WORLDCUP!BD63</f>
        <v>Suecia</v>
      </c>
      <c r="I380" s="9" t="str">
        <f ca="1">+WORLDCUP!BD69</f>
        <v>Ghana</v>
      </c>
      <c r="J380" s="9" t="str">
        <f ca="1">+WORLDCUP!BD66</f>
        <v>Irak</v>
      </c>
      <c r="N380" s="16" t="s">
        <v>878</v>
      </c>
      <c r="O380" s="16">
        <v>379</v>
      </c>
      <c r="P380" s="16" t="s">
        <v>446</v>
      </c>
      <c r="Q380" s="16" t="s">
        <v>451</v>
      </c>
      <c r="R380" s="16" t="s">
        <v>91</v>
      </c>
      <c r="S380" s="16" t="s">
        <v>92</v>
      </c>
      <c r="T380" s="16" t="s">
        <v>90</v>
      </c>
      <c r="U380" s="16" t="s">
        <v>95</v>
      </c>
      <c r="V380" s="16" t="s">
        <v>453</v>
      </c>
      <c r="W380" s="16" t="s">
        <v>450</v>
      </c>
    </row>
    <row r="381" spans="1:23" x14ac:dyDescent="0.2">
      <c r="A381" s="9" t="s">
        <v>877</v>
      </c>
      <c r="B381" s="9">
        <f ca="1">+IF(A381=WORLDCUP!$BI$112,1,0)</f>
        <v>0</v>
      </c>
      <c r="C381" s="9" t="str">
        <f ca="1">+WORLDCUP!BD65</f>
        <v>Arabia Saudita</v>
      </c>
      <c r="D381" s="9" t="str">
        <f ca="1">+WORLDCUP!BD67</f>
        <v>Austria</v>
      </c>
      <c r="E381" s="9" t="str">
        <f ca="1">+WORLDCUP!BD59</f>
        <v>Catar</v>
      </c>
      <c r="F381" s="9" t="str">
        <f ca="1">+WORLDCUP!BD60</f>
        <v>Haití</v>
      </c>
      <c r="G381" s="9" t="str">
        <f ca="1">+WORLDCUP!BD58</f>
        <v>Corea del Sur</v>
      </c>
      <c r="H381" s="9" t="str">
        <f ca="1">+WORLDCUP!BD63</f>
        <v>Suecia</v>
      </c>
      <c r="I381" s="9" t="str">
        <f ca="1">+WORLDCUP!BD66</f>
        <v>Irak</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x14ac:dyDescent="0.2">
      <c r="A382" s="9" t="s">
        <v>876</v>
      </c>
      <c r="B382" s="9">
        <f ca="1">+IF(A382=WORLDCUP!$BI$112,1,0)</f>
        <v>0</v>
      </c>
      <c r="C382" s="9" t="str">
        <f ca="1">+WORLDCUP!BD60</f>
        <v>Haití</v>
      </c>
      <c r="D382" s="9" t="str">
        <f ca="1">+WORLDCUP!BD67</f>
        <v>Austria</v>
      </c>
      <c r="E382" s="9" t="str">
        <f ca="1">+WORLDCUP!BD59</f>
        <v>Catar</v>
      </c>
      <c r="F382" s="9" t="str">
        <f ca="1">+WORLDCUP!BD63</f>
        <v>Suecia</v>
      </c>
      <c r="G382" s="9" t="str">
        <f ca="1">+WORLDCUP!BD58</f>
        <v>Corea del Sur</v>
      </c>
      <c r="H382" s="9" t="str">
        <f ca="1">+WORLDCUP!BD64</f>
        <v>Irán</v>
      </c>
      <c r="I382" s="9" t="str">
        <f ca="1">+WORLDCUP!BD69</f>
        <v>Ghana</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x14ac:dyDescent="0.2">
      <c r="A383" s="9" t="s">
        <v>875</v>
      </c>
      <c r="B383" s="9">
        <f ca="1">+IF(A383=WORLDCUP!$BI$112,1,0)</f>
        <v>0</v>
      </c>
      <c r="C383" s="9" t="str">
        <f ca="1">+WORLDCUP!BD66</f>
        <v>Irak</v>
      </c>
      <c r="D383" s="9" t="str">
        <f ca="1">+WORLDCUP!BD64</f>
        <v>Irán</v>
      </c>
      <c r="E383" s="9" t="str">
        <f ca="1">+WORLDCUP!BD59</f>
        <v>Catar</v>
      </c>
      <c r="F383" s="9" t="str">
        <f ca="1">+WORLDCUP!BD60</f>
        <v>Haití</v>
      </c>
      <c r="G383" s="9" t="str">
        <f ca="1">+WORLDCUP!BD58</f>
        <v>Corea del Sur</v>
      </c>
      <c r="H383" s="9" t="str">
        <f ca="1">+WORLDCUP!BD63</f>
        <v>Suecia</v>
      </c>
      <c r="I383" s="9" t="str">
        <f ca="1">+WORLDCUP!BD69</f>
        <v>Ghana</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x14ac:dyDescent="0.2">
      <c r="A384" s="9" t="s">
        <v>874</v>
      </c>
      <c r="B384" s="9">
        <f ca="1">+IF(A384=WORLDCUP!$BI$112,1,0)</f>
        <v>0</v>
      </c>
      <c r="C384" s="9" t="str">
        <f ca="1">+WORLDCUP!BD60</f>
        <v>Haití</v>
      </c>
      <c r="D384" s="9" t="str">
        <f ca="1">+WORLDCUP!BD67</f>
        <v>Austria</v>
      </c>
      <c r="E384" s="9" t="str">
        <f ca="1">+WORLDCUP!BD59</f>
        <v>Catar</v>
      </c>
      <c r="F384" s="9" t="str">
        <f ca="1">+WORLDCUP!BD63</f>
        <v>Suecia</v>
      </c>
      <c r="G384" s="9" t="str">
        <f ca="1">+WORLDCUP!BD58</f>
        <v>Corea del Sur</v>
      </c>
      <c r="H384" s="9" t="str">
        <f ca="1">+WORLDCUP!BD64</f>
        <v>Irán</v>
      </c>
      <c r="I384" s="9" t="str">
        <f ca="1">+WORLDCUP!BD69</f>
        <v>Ghana</v>
      </c>
      <c r="J384" s="9" t="str">
        <f ca="1">+WORLDCUP!BD66</f>
        <v>Irak</v>
      </c>
      <c r="N384" s="16" t="s">
        <v>874</v>
      </c>
      <c r="O384" s="16">
        <v>383</v>
      </c>
      <c r="P384" s="16" t="s">
        <v>92</v>
      </c>
      <c r="Q384" s="16" t="s">
        <v>451</v>
      </c>
      <c r="R384" s="16" t="s">
        <v>91</v>
      </c>
      <c r="S384" s="16" t="s">
        <v>95</v>
      </c>
      <c r="T384" s="16" t="s">
        <v>90</v>
      </c>
      <c r="U384" s="16" t="s">
        <v>445</v>
      </c>
      <c r="V384" s="16" t="s">
        <v>453</v>
      </c>
      <c r="W384" s="16" t="s">
        <v>450</v>
      </c>
    </row>
    <row r="385" spans="1:23" x14ac:dyDescent="0.2">
      <c r="A385" s="9" t="s">
        <v>873</v>
      </c>
      <c r="B385" s="9">
        <f ca="1">+IF(A385=WORLDCUP!$BI$112,1,0)</f>
        <v>0</v>
      </c>
      <c r="C385" s="9" t="str">
        <f ca="1">+WORLDCUP!BD60</f>
        <v>Haití</v>
      </c>
      <c r="D385" s="9" t="str">
        <f ca="1">+WORLDCUP!BD67</f>
        <v>Austria</v>
      </c>
      <c r="E385" s="9" t="str">
        <f ca="1">+WORLDCUP!BD59</f>
        <v>Catar</v>
      </c>
      <c r="F385" s="9" t="str">
        <f ca="1">+WORLDCUP!BD63</f>
        <v>Suecia</v>
      </c>
      <c r="G385" s="9" t="str">
        <f ca="1">+WORLDCUP!BD58</f>
        <v>Corea del Sur</v>
      </c>
      <c r="H385" s="9" t="str">
        <f ca="1">+WORLDCUP!BD64</f>
        <v>Irán</v>
      </c>
      <c r="I385" s="9" t="str">
        <f ca="1">+WORLDCUP!BD66</f>
        <v>Irak</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x14ac:dyDescent="0.2">
      <c r="A386" s="9" t="s">
        <v>872</v>
      </c>
      <c r="B386" s="9">
        <f ca="1">+IF(A386=WORLDCUP!$BI$112,1,0)</f>
        <v>0</v>
      </c>
      <c r="C386" s="9" t="str">
        <f ca="1">+WORLDCUP!BD65</f>
        <v>Arabia Saudita</v>
      </c>
      <c r="D386" s="9" t="str">
        <f ca="1">+WORLDCUP!BD64</f>
        <v>Irán</v>
      </c>
      <c r="E386" s="9" t="str">
        <f ca="1">+WORLDCUP!BD59</f>
        <v>Catar</v>
      </c>
      <c r="F386" s="9" t="str">
        <f ca="1">+WORLDCUP!BD60</f>
        <v>Haití</v>
      </c>
      <c r="G386" s="9" t="str">
        <f ca="1">+WORLDCUP!BD58</f>
        <v>Corea del Sur</v>
      </c>
      <c r="H386" s="9" t="str">
        <f ca="1">+WORLDCUP!BD63</f>
        <v>Suecia</v>
      </c>
      <c r="I386" s="9" t="str">
        <f ca="1">+WORLDCUP!BD69</f>
        <v>Ghana</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x14ac:dyDescent="0.2">
      <c r="A387" s="9" t="s">
        <v>871</v>
      </c>
      <c r="B387" s="9">
        <f ca="1">+IF(A387=WORLDCUP!$BI$112,1,0)</f>
        <v>0</v>
      </c>
      <c r="C387" s="9" t="str">
        <f ca="1">+WORLDCUP!BD65</f>
        <v>Arabia Saudita</v>
      </c>
      <c r="D387" s="9" t="str">
        <f ca="1">+WORLDCUP!BD64</f>
        <v>Irán</v>
      </c>
      <c r="E387" s="9" t="str">
        <f ca="1">+WORLDCUP!BD59</f>
        <v>Catar</v>
      </c>
      <c r="F387" s="9" t="str">
        <f ca="1">+WORLDCUP!BD60</f>
        <v>Haití</v>
      </c>
      <c r="G387" s="9" t="str">
        <f ca="1">+WORLDCUP!BD58</f>
        <v>Corea del Sur</v>
      </c>
      <c r="H387" s="9" t="str">
        <f ca="1">+WORLDCUP!BD63</f>
        <v>Suecia</v>
      </c>
      <c r="I387" s="9" t="str">
        <f ca="1">+WORLDCUP!BD69</f>
        <v>Ghana</v>
      </c>
      <c r="J387" s="9" t="str">
        <f ca="1">+WORLDCUP!BD67</f>
        <v>Austria</v>
      </c>
      <c r="N387" s="16" t="s">
        <v>871</v>
      </c>
      <c r="O387" s="16">
        <v>386</v>
      </c>
      <c r="P387" s="16" t="s">
        <v>446</v>
      </c>
      <c r="Q387" s="16" t="s">
        <v>445</v>
      </c>
      <c r="R387" s="16" t="s">
        <v>91</v>
      </c>
      <c r="S387" s="16" t="s">
        <v>92</v>
      </c>
      <c r="T387" s="16" t="s">
        <v>90</v>
      </c>
      <c r="U387" s="16" t="s">
        <v>95</v>
      </c>
      <c r="V387" s="16" t="s">
        <v>453</v>
      </c>
      <c r="W387" s="16" t="s">
        <v>451</v>
      </c>
    </row>
    <row r="388" spans="1:23" x14ac:dyDescent="0.2">
      <c r="A388" s="9" t="s">
        <v>870</v>
      </c>
      <c r="B388" s="9">
        <f ca="1">+IF(A388=WORLDCUP!$BI$112,1,0)</f>
        <v>0</v>
      </c>
      <c r="C388" s="9" t="str">
        <f ca="1">+WORLDCUP!BD65</f>
        <v>Arabia Saudita</v>
      </c>
      <c r="D388" s="9" t="str">
        <f ca="1">+WORLDCUP!BD64</f>
        <v>Irán</v>
      </c>
      <c r="E388" s="9" t="str">
        <f ca="1">+WORLDCUP!BD59</f>
        <v>Catar</v>
      </c>
      <c r="F388" s="9" t="str">
        <f ca="1">+WORLDCUP!BD60</f>
        <v>Haití</v>
      </c>
      <c r="G388" s="9" t="str">
        <f ca="1">+WORLDCUP!BD58</f>
        <v>Corea del Sur</v>
      </c>
      <c r="H388" s="9" t="str">
        <f ca="1">+WORLDCUP!BD63</f>
        <v>Suecia</v>
      </c>
      <c r="I388" s="9" t="str">
        <f ca="1">+WORLDCUP!BD67</f>
        <v>Austria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x14ac:dyDescent="0.2">
      <c r="A389" s="9" t="s">
        <v>869</v>
      </c>
      <c r="B389" s="9">
        <f ca="1">+IF(A389=WORLDCUP!$BI$112,1,0)</f>
        <v>0</v>
      </c>
      <c r="C389" s="9" t="str">
        <f ca="1">+WORLDCUP!BD65</f>
        <v>Arabia Saudita</v>
      </c>
      <c r="D389" s="9" t="str">
        <f ca="1">+WORLDCUP!BD64</f>
        <v>Irán</v>
      </c>
      <c r="E389" s="9" t="str">
        <f ca="1">+WORLDCUP!BD59</f>
        <v>Catar</v>
      </c>
      <c r="F389" s="9" t="str">
        <f ca="1">+WORLDCUP!BD60</f>
        <v>Haití</v>
      </c>
      <c r="G389" s="9" t="str">
        <f ca="1">+WORLDCUP!BD58</f>
        <v>Corea del Sur</v>
      </c>
      <c r="H389" s="9" t="str">
        <f ca="1">+WORLDCUP!BD63</f>
        <v>Suecia</v>
      </c>
      <c r="I389" s="9" t="str">
        <f ca="1">+WORLDCUP!BD69</f>
        <v>Ghana</v>
      </c>
      <c r="J389" s="9" t="str">
        <f ca="1">+WORLDCUP!BD66</f>
        <v>Irak</v>
      </c>
      <c r="N389" s="16" t="s">
        <v>869</v>
      </c>
      <c r="O389" s="16">
        <v>388</v>
      </c>
      <c r="P389" s="16" t="s">
        <v>446</v>
      </c>
      <c r="Q389" s="16" t="s">
        <v>445</v>
      </c>
      <c r="R389" s="16" t="s">
        <v>91</v>
      </c>
      <c r="S389" s="16" t="s">
        <v>92</v>
      </c>
      <c r="T389" s="16" t="s">
        <v>90</v>
      </c>
      <c r="U389" s="16" t="s">
        <v>95</v>
      </c>
      <c r="V389" s="16" t="s">
        <v>453</v>
      </c>
      <c r="W389" s="16" t="s">
        <v>450</v>
      </c>
    </row>
    <row r="390" spans="1:23" x14ac:dyDescent="0.2">
      <c r="A390" s="9" t="s">
        <v>868</v>
      </c>
      <c r="B390" s="9">
        <f ca="1">+IF(A390=WORLDCUP!$BI$112,1,0)</f>
        <v>0</v>
      </c>
      <c r="C390" s="9" t="str">
        <f ca="1">+WORLDCUP!BD65</f>
        <v>Arabia Saudita</v>
      </c>
      <c r="D390" s="9" t="str">
        <f ca="1">+WORLDCUP!BD64</f>
        <v>Irán</v>
      </c>
      <c r="E390" s="9" t="str">
        <f ca="1">+WORLDCUP!BD59</f>
        <v>Catar</v>
      </c>
      <c r="F390" s="9" t="str">
        <f ca="1">+WORLDCUP!BD60</f>
        <v>Haití</v>
      </c>
      <c r="G390" s="9" t="str">
        <f ca="1">+WORLDCUP!BD58</f>
        <v>Corea del Sur</v>
      </c>
      <c r="H390" s="9" t="str">
        <f ca="1">+WORLDCUP!BD63</f>
        <v>Suecia</v>
      </c>
      <c r="I390" s="9" t="str">
        <f ca="1">+WORLDCUP!BD66</f>
        <v>Irak</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x14ac:dyDescent="0.2">
      <c r="A391" s="9" t="s">
        <v>867</v>
      </c>
      <c r="B391" s="9">
        <f ca="1">+IF(A391=WORLDCUP!$BI$112,1,0)</f>
        <v>0</v>
      </c>
      <c r="C391" s="9" t="str">
        <f ca="1">+WORLDCUP!BD65</f>
        <v>Arabia Saudita</v>
      </c>
      <c r="D391" s="9" t="str">
        <f ca="1">+WORLDCUP!BD64</f>
        <v>Irán</v>
      </c>
      <c r="E391" s="9" t="str">
        <f ca="1">+WORLDCUP!BD59</f>
        <v>Catar</v>
      </c>
      <c r="F391" s="9" t="str">
        <f ca="1">+WORLDCUP!BD60</f>
        <v>Haití</v>
      </c>
      <c r="G391" s="9" t="str">
        <f ca="1">+WORLDCUP!BD58</f>
        <v>Corea del Sur</v>
      </c>
      <c r="H391" s="9" t="str">
        <f ca="1">+WORLDCUP!BD63</f>
        <v>Suecia</v>
      </c>
      <c r="I391" s="9" t="str">
        <f ca="1">+WORLDCUP!BD66</f>
        <v>Irak</v>
      </c>
      <c r="J391" s="9" t="str">
        <f ca="1">+WORLDCUP!BD67</f>
        <v>Austria</v>
      </c>
      <c r="N391" s="16" t="s">
        <v>867</v>
      </c>
      <c r="O391" s="16">
        <v>390</v>
      </c>
      <c r="P391" s="16" t="s">
        <v>446</v>
      </c>
      <c r="Q391" s="16" t="s">
        <v>445</v>
      </c>
      <c r="R391" s="16" t="s">
        <v>91</v>
      </c>
      <c r="S391" s="16" t="s">
        <v>92</v>
      </c>
      <c r="T391" s="16" t="s">
        <v>90</v>
      </c>
      <c r="U391" s="16" t="s">
        <v>95</v>
      </c>
      <c r="V391" s="16" t="s">
        <v>450</v>
      </c>
      <c r="W391" s="16" t="s">
        <v>451</v>
      </c>
    </row>
    <row r="392" spans="1:23" x14ac:dyDescent="0.2">
      <c r="A392" s="9" t="s">
        <v>866</v>
      </c>
      <c r="B392" s="9">
        <f ca="1">+IF(A392=WORLDCUP!$BI$112,1,0)</f>
        <v>0</v>
      </c>
      <c r="C392" s="9" t="str">
        <f ca="1">+WORLDCUP!BD62</f>
        <v>Costa de Marfil</v>
      </c>
      <c r="D392" s="9" t="str">
        <f ca="1">+WORLDCUP!BD67</f>
        <v>Austria</v>
      </c>
      <c r="E392" s="9" t="str">
        <f ca="1">+WORLDCUP!BD59</f>
        <v>Catar</v>
      </c>
      <c r="F392" s="9" t="str">
        <f ca="1">+WORLDCUP!BD58</f>
        <v>Corea del Sur</v>
      </c>
      <c r="G392" s="9" t="str">
        <f ca="1">+WORLDCUP!BD66</f>
        <v>Irak</v>
      </c>
      <c r="H392" s="9" t="str">
        <f ca="1">+WORLDCUP!BD60</f>
        <v>Haití</v>
      </c>
      <c r="I392" s="9" t="str">
        <f ca="1">+WORLDCUP!BD69</f>
        <v>Ghana</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x14ac:dyDescent="0.2">
      <c r="A393" s="9" t="s">
        <v>865</v>
      </c>
      <c r="B393" s="9">
        <f ca="1">+IF(A393=WORLDCUP!$BI$112,1,0)</f>
        <v>0</v>
      </c>
      <c r="C393" s="9" t="str">
        <f ca="1">+WORLDCUP!BD62</f>
        <v>Costa de Marfil</v>
      </c>
      <c r="D393" s="9" t="str">
        <f ca="1">+WORLDCUP!BD67</f>
        <v>Austria</v>
      </c>
      <c r="E393" s="9" t="str">
        <f ca="1">+WORLDCUP!BD59</f>
        <v>Catar</v>
      </c>
      <c r="F393" s="9" t="str">
        <f ca="1">+WORLDCUP!BD60</f>
        <v>Haití</v>
      </c>
      <c r="G393" s="9" t="str">
        <f ca="1">+WORLDCUP!BD58</f>
        <v>Corea del Sur</v>
      </c>
      <c r="H393" s="9" t="str">
        <f ca="1">+WORLDCUP!BD65</f>
        <v>Arabia Saudita</v>
      </c>
      <c r="I393" s="9" t="str">
        <f ca="1">+WORLDCUP!BD69</f>
        <v>Ghana</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x14ac:dyDescent="0.2">
      <c r="A394" s="9" t="s">
        <v>864</v>
      </c>
      <c r="B394" s="9">
        <f ca="1">+IF(A394=WORLDCUP!$BI$112,1,0)</f>
        <v>0</v>
      </c>
      <c r="C394" s="9" t="str">
        <f ca="1">+WORLDCUP!BD62</f>
        <v>Costa de Marfil</v>
      </c>
      <c r="D394" s="9" t="str">
        <f ca="1">+WORLDCUP!BD66</f>
        <v>Irak</v>
      </c>
      <c r="E394" s="9" t="str">
        <f ca="1">+WORLDCUP!BD59</f>
        <v>Catar</v>
      </c>
      <c r="F394" s="9" t="str">
        <f ca="1">+WORLDCUP!BD60</f>
        <v>Haití</v>
      </c>
      <c r="G394" s="9" t="str">
        <f ca="1">+WORLDCUP!BD58</f>
        <v>Corea del Sur</v>
      </c>
      <c r="H394" s="9" t="str">
        <f ca="1">+WORLDCUP!BD65</f>
        <v>Arabia Saudita</v>
      </c>
      <c r="I394" s="9" t="str">
        <f ca="1">+WORLDCUP!BD69</f>
        <v>Ghana</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x14ac:dyDescent="0.2">
      <c r="A395" s="9" t="s">
        <v>863</v>
      </c>
      <c r="B395" s="9">
        <f ca="1">+IF(A395=WORLDCUP!$BI$112,1,0)</f>
        <v>0</v>
      </c>
      <c r="C395" s="9" t="str">
        <f ca="1">+WORLDCUP!BD62</f>
        <v>Costa de Marfil</v>
      </c>
      <c r="D395" s="9" t="str">
        <f ca="1">+WORLDCUP!BD67</f>
        <v>Austria</v>
      </c>
      <c r="E395" s="9" t="str">
        <f ca="1">+WORLDCUP!BD59</f>
        <v>Catar</v>
      </c>
      <c r="F395" s="9" t="str">
        <f ca="1">+WORLDCUP!BD60</f>
        <v>Haití</v>
      </c>
      <c r="G395" s="9" t="str">
        <f ca="1">+WORLDCUP!BD58</f>
        <v>Corea del Sur</v>
      </c>
      <c r="H395" s="9" t="str">
        <f ca="1">+WORLDCUP!BD65</f>
        <v>Arabia Saudita</v>
      </c>
      <c r="I395" s="9" t="str">
        <f ca="1">+WORLDCUP!BD69</f>
        <v>Ghana</v>
      </c>
      <c r="J395" s="9" t="str">
        <f ca="1">+WORLDCUP!BD66</f>
        <v>Irak</v>
      </c>
      <c r="N395" s="16" t="s">
        <v>863</v>
      </c>
      <c r="O395" s="16">
        <v>394</v>
      </c>
      <c r="P395" s="16" t="s">
        <v>94</v>
      </c>
      <c r="Q395" s="16" t="s">
        <v>451</v>
      </c>
      <c r="R395" s="16" t="s">
        <v>91</v>
      </c>
      <c r="S395" s="16" t="s">
        <v>92</v>
      </c>
      <c r="T395" s="16" t="s">
        <v>90</v>
      </c>
      <c r="U395" s="16" t="s">
        <v>446</v>
      </c>
      <c r="V395" s="16" t="s">
        <v>453</v>
      </c>
      <c r="W395" s="16" t="s">
        <v>450</v>
      </c>
    </row>
    <row r="396" spans="1:23" x14ac:dyDescent="0.2">
      <c r="A396" s="9" t="s">
        <v>862</v>
      </c>
      <c r="B396" s="9">
        <f ca="1">+IF(A396=WORLDCUP!$BI$112,1,0)</f>
        <v>0</v>
      </c>
      <c r="C396" s="9" t="str">
        <f ca="1">+WORLDCUP!BD62</f>
        <v>Costa de Marfil</v>
      </c>
      <c r="D396" s="9" t="str">
        <f ca="1">+WORLDCUP!BD67</f>
        <v>Austria</v>
      </c>
      <c r="E396" s="9" t="str">
        <f ca="1">+WORLDCUP!BD59</f>
        <v>Catar</v>
      </c>
      <c r="F396" s="9" t="str">
        <f ca="1">+WORLDCUP!BD60</f>
        <v>Haití</v>
      </c>
      <c r="G396" s="9" t="str">
        <f ca="1">+WORLDCUP!BD58</f>
        <v>Corea del Sur</v>
      </c>
      <c r="H396" s="9" t="str">
        <f ca="1">+WORLDCUP!BD65</f>
        <v>Arabia Saudita</v>
      </c>
      <c r="I396" s="9" t="str">
        <f ca="1">+WORLDCUP!BD66</f>
        <v>Irak</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x14ac:dyDescent="0.2">
      <c r="A397" s="9" t="s">
        <v>861</v>
      </c>
      <c r="B397" s="9">
        <f ca="1">+IF(A397=WORLDCUP!$BI$112,1,0)</f>
        <v>0</v>
      </c>
      <c r="C397" s="9" t="str">
        <f ca="1">+WORLDCUP!BD62</f>
        <v>Costa de Marfil</v>
      </c>
      <c r="D397" s="9" t="str">
        <f ca="1">+WORLDCUP!BD67</f>
        <v>Austria</v>
      </c>
      <c r="E397" s="9" t="str">
        <f ca="1">+WORLDCUP!BD59</f>
        <v>Catar</v>
      </c>
      <c r="F397" s="9" t="str">
        <f ca="1">+WORLDCUP!BD60</f>
        <v>Haití</v>
      </c>
      <c r="G397" s="9" t="str">
        <f ca="1">+WORLDCUP!BD58</f>
        <v>Corea del Sur</v>
      </c>
      <c r="H397" s="9" t="str">
        <f ca="1">+WORLDCUP!BD64</f>
        <v>Irán</v>
      </c>
      <c r="I397" s="9" t="str">
        <f ca="1">+WORLDCUP!BD69</f>
        <v>Ghana</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x14ac:dyDescent="0.2">
      <c r="A398" s="9" t="s">
        <v>860</v>
      </c>
      <c r="B398" s="9">
        <f ca="1">+IF(A398=WORLDCUP!$BI$112,1,0)</f>
        <v>0</v>
      </c>
      <c r="C398" s="9" t="str">
        <f ca="1">+WORLDCUP!BD62</f>
        <v>Costa de Marfil</v>
      </c>
      <c r="D398" s="9" t="str">
        <f ca="1">+WORLDCUP!BD64</f>
        <v>Irán</v>
      </c>
      <c r="E398" s="9" t="str">
        <f ca="1">+WORLDCUP!BD59</f>
        <v>Catar</v>
      </c>
      <c r="F398" s="9" t="str">
        <f ca="1">+WORLDCUP!BD58</f>
        <v>Corea del Sur</v>
      </c>
      <c r="G398" s="9" t="str">
        <f ca="1">+WORLDCUP!BD66</f>
        <v>Irak</v>
      </c>
      <c r="H398" s="9" t="str">
        <f ca="1">+WORLDCUP!BD60</f>
        <v>Haití</v>
      </c>
      <c r="I398" s="9" t="str">
        <f ca="1">+WORLDCUP!BD69</f>
        <v>Ghana</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x14ac:dyDescent="0.2">
      <c r="A399" s="9" t="s">
        <v>859</v>
      </c>
      <c r="B399" s="9">
        <f ca="1">+IF(A399=WORLDCUP!$BI$112,1,0)</f>
        <v>0</v>
      </c>
      <c r="C399" s="9" t="str">
        <f ca="1">+WORLDCUP!BD62</f>
        <v>Costa de Marfil</v>
      </c>
      <c r="D399" s="9" t="str">
        <f ca="1">+WORLDCUP!BD67</f>
        <v>Austria</v>
      </c>
      <c r="E399" s="9" t="str">
        <f ca="1">+WORLDCUP!BD59</f>
        <v>Catar</v>
      </c>
      <c r="F399" s="9" t="str">
        <f ca="1">+WORLDCUP!BD60</f>
        <v>Haití</v>
      </c>
      <c r="G399" s="9" t="str">
        <f ca="1">+WORLDCUP!BD58</f>
        <v>Corea del Sur</v>
      </c>
      <c r="H399" s="9" t="str">
        <f ca="1">+WORLDCUP!BD64</f>
        <v>Irán</v>
      </c>
      <c r="I399" s="9" t="str">
        <f ca="1">+WORLDCUP!BD69</f>
        <v>Ghana</v>
      </c>
      <c r="J399" s="9" t="str">
        <f ca="1">+WORLDCUP!BD66</f>
        <v>Irak</v>
      </c>
      <c r="N399" s="16" t="s">
        <v>859</v>
      </c>
      <c r="O399" s="16">
        <v>398</v>
      </c>
      <c r="P399" s="16" t="s">
        <v>94</v>
      </c>
      <c r="Q399" s="16" t="s">
        <v>451</v>
      </c>
      <c r="R399" s="16" t="s">
        <v>91</v>
      </c>
      <c r="S399" s="16" t="s">
        <v>92</v>
      </c>
      <c r="T399" s="16" t="s">
        <v>90</v>
      </c>
      <c r="U399" s="16" t="s">
        <v>445</v>
      </c>
      <c r="V399" s="16" t="s">
        <v>453</v>
      </c>
      <c r="W399" s="16" t="s">
        <v>450</v>
      </c>
    </row>
    <row r="400" spans="1:23" x14ac:dyDescent="0.2">
      <c r="A400" s="9" t="s">
        <v>858</v>
      </c>
      <c r="B400" s="9">
        <f ca="1">+IF(A400=WORLDCUP!$BI$112,1,0)</f>
        <v>0</v>
      </c>
      <c r="C400" s="9" t="str">
        <f ca="1">+WORLDCUP!BD62</f>
        <v>Costa de Marfil</v>
      </c>
      <c r="D400" s="9" t="str">
        <f ca="1">+WORLDCUP!BD67</f>
        <v>Austria</v>
      </c>
      <c r="E400" s="9" t="str">
        <f ca="1">+WORLDCUP!BD59</f>
        <v>Catar</v>
      </c>
      <c r="F400" s="9" t="str">
        <f ca="1">+WORLDCUP!BD60</f>
        <v>Haití</v>
      </c>
      <c r="G400" s="9" t="str">
        <f ca="1">+WORLDCUP!BD58</f>
        <v>Corea del Sur</v>
      </c>
      <c r="H400" s="9" t="str">
        <f ca="1">+WORLDCUP!BD64</f>
        <v>Irán</v>
      </c>
      <c r="I400" s="9" t="str">
        <f ca="1">+WORLDCUP!BD66</f>
        <v>Irak</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x14ac:dyDescent="0.2">
      <c r="A401" s="9" t="s">
        <v>857</v>
      </c>
      <c r="B401" s="9">
        <f ca="1">+IF(A401=WORLDCUP!$BI$112,1,0)</f>
        <v>0</v>
      </c>
      <c r="C401" s="9" t="str">
        <f ca="1">+WORLDCUP!BD62</f>
        <v>Costa de Marfil</v>
      </c>
      <c r="D401" s="9" t="str">
        <f ca="1">+WORLDCUP!BD64</f>
        <v>Irán</v>
      </c>
      <c r="E401" s="9" t="str">
        <f ca="1">+WORLDCUP!BD59</f>
        <v>Catar</v>
      </c>
      <c r="F401" s="9" t="str">
        <f ca="1">+WORLDCUP!BD60</f>
        <v>Haití</v>
      </c>
      <c r="G401" s="9" t="str">
        <f ca="1">+WORLDCUP!BD58</f>
        <v>Corea del Sur</v>
      </c>
      <c r="H401" s="9" t="str">
        <f ca="1">+WORLDCUP!BD65</f>
        <v>Arabia Saudita</v>
      </c>
      <c r="I401" s="9" t="str">
        <f ca="1">+WORLDCUP!BD69</f>
        <v>Ghana</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x14ac:dyDescent="0.2">
      <c r="A402" s="9" t="s">
        <v>856</v>
      </c>
      <c r="B402" s="9">
        <f ca="1">+IF(A402=WORLDCUP!$BI$112,1,0)</f>
        <v>0</v>
      </c>
      <c r="C402" s="9" t="str">
        <f ca="1">+WORLDCUP!BD65</f>
        <v>Arabia Saudita</v>
      </c>
      <c r="D402" s="9" t="str">
        <f ca="1">+WORLDCUP!BD67</f>
        <v>Austria</v>
      </c>
      <c r="E402" s="9" t="str">
        <f ca="1">+WORLDCUP!BD59</f>
        <v>Catar</v>
      </c>
      <c r="F402" s="9" t="str">
        <f ca="1">+WORLDCUP!BD60</f>
        <v>Haití</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x14ac:dyDescent="0.2">
      <c r="A403" s="9" t="s">
        <v>855</v>
      </c>
      <c r="B403" s="9">
        <f ca="1">+IF(A403=WORLDCUP!$BI$112,1,0)</f>
        <v>0</v>
      </c>
      <c r="C403" s="9" t="str">
        <f ca="1">+WORLDCUP!BD65</f>
        <v>Arabia Saudita</v>
      </c>
      <c r="D403" s="9" t="str">
        <f ca="1">+WORLDCUP!BD67</f>
        <v>Austria</v>
      </c>
      <c r="E403" s="9" t="str">
        <f ca="1">+WORLDCUP!BD59</f>
        <v>Catar</v>
      </c>
      <c r="F403" s="9" t="str">
        <f ca="1">+WORLDCUP!BD60</f>
        <v>Haití</v>
      </c>
      <c r="G403" s="9" t="str">
        <f ca="1">+WORLDCUP!BD58</f>
        <v>Corea del Sur</v>
      </c>
      <c r="H403" s="9" t="str">
        <f ca="1">+WORLDCUP!BD64</f>
        <v>Irán</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x14ac:dyDescent="0.2">
      <c r="A404" s="9" t="s">
        <v>854</v>
      </c>
      <c r="B404" s="9">
        <f ca="1">+IF(A404=WORLDCUP!$BI$112,1,0)</f>
        <v>0</v>
      </c>
      <c r="C404" s="9" t="str">
        <f ca="1">+WORLDCUP!BD62</f>
        <v>Costa de Marfil</v>
      </c>
      <c r="D404" s="9" t="str">
        <f ca="1">+WORLDCUP!BD64</f>
        <v>Irán</v>
      </c>
      <c r="E404" s="9" t="str">
        <f ca="1">+WORLDCUP!BD59</f>
        <v>Catar</v>
      </c>
      <c r="F404" s="9" t="str">
        <f ca="1">+WORLDCUP!BD60</f>
        <v>Haití</v>
      </c>
      <c r="G404" s="9" t="str">
        <f ca="1">+WORLDCUP!BD58</f>
        <v>Corea del Sur</v>
      </c>
      <c r="H404" s="9" t="str">
        <f ca="1">+WORLDCUP!BD65</f>
        <v>Arabia Saudita</v>
      </c>
      <c r="I404" s="9" t="str">
        <f ca="1">+WORLDCUP!BD69</f>
        <v>Ghana</v>
      </c>
      <c r="J404" s="9" t="str">
        <f ca="1">+WORLDCUP!BD66</f>
        <v>Irak</v>
      </c>
      <c r="N404" s="16" t="s">
        <v>854</v>
      </c>
      <c r="O404" s="16">
        <v>403</v>
      </c>
      <c r="P404" s="16" t="s">
        <v>94</v>
      </c>
      <c r="Q404" s="16" t="s">
        <v>445</v>
      </c>
      <c r="R404" s="16" t="s">
        <v>91</v>
      </c>
      <c r="S404" s="16" t="s">
        <v>92</v>
      </c>
      <c r="T404" s="16" t="s">
        <v>90</v>
      </c>
      <c r="U404" s="16" t="s">
        <v>446</v>
      </c>
      <c r="V404" s="16" t="s">
        <v>453</v>
      </c>
      <c r="W404" s="16" t="s">
        <v>450</v>
      </c>
    </row>
    <row r="405" spans="1:23" x14ac:dyDescent="0.2">
      <c r="A405" s="9" t="s">
        <v>853</v>
      </c>
      <c r="B405" s="9">
        <f ca="1">+IF(A405=WORLDCUP!$BI$112,1,0)</f>
        <v>0</v>
      </c>
      <c r="C405" s="9" t="str">
        <f ca="1">+WORLDCUP!BD62</f>
        <v>Costa de Marfil</v>
      </c>
      <c r="D405" s="9" t="str">
        <f ca="1">+WORLDCUP!BD64</f>
        <v>Irán</v>
      </c>
      <c r="E405" s="9" t="str">
        <f ca="1">+WORLDCUP!BD59</f>
        <v>Catar</v>
      </c>
      <c r="F405" s="9" t="str">
        <f ca="1">+WORLDCUP!BD60</f>
        <v>Haití</v>
      </c>
      <c r="G405" s="9" t="str">
        <f ca="1">+WORLDCUP!BD58</f>
        <v>Corea del Sur</v>
      </c>
      <c r="H405" s="9" t="str">
        <f ca="1">+WORLDCUP!BD65</f>
        <v>Arabia Saudita</v>
      </c>
      <c r="I405" s="9" t="str">
        <f ca="1">+WORLDCUP!BD66</f>
        <v>Irak</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x14ac:dyDescent="0.2">
      <c r="A406" s="9" t="s">
        <v>852</v>
      </c>
      <c r="B406" s="9">
        <f ca="1">+IF(A406=WORLDCUP!$BI$112,1,0)</f>
        <v>0</v>
      </c>
      <c r="C406" s="9" t="str">
        <f ca="1">+WORLDCUP!BD65</f>
        <v>Arabia Saudita</v>
      </c>
      <c r="D406" s="9" t="str">
        <f ca="1">+WORLDCUP!BD67</f>
        <v>Austria</v>
      </c>
      <c r="E406" s="9" t="str">
        <f ca="1">+WORLDCUP!BD59</f>
        <v>Catar</v>
      </c>
      <c r="F406" s="9" t="str">
        <f ca="1">+WORLDCUP!BD60</f>
        <v>Haití</v>
      </c>
      <c r="G406" s="9" t="str">
        <f ca="1">+WORLDCUP!BD58</f>
        <v>Corea del Sur</v>
      </c>
      <c r="H406" s="9" t="str">
        <f ca="1">+WORLDCUP!BD64</f>
        <v>Irán</v>
      </c>
      <c r="I406" s="9" t="str">
        <f ca="1">+WORLDCUP!BD62</f>
        <v>Costa de Marfil</v>
      </c>
      <c r="J406" s="9" t="str">
        <f ca="1">+WORLDCUP!BD66</f>
        <v>Irak</v>
      </c>
      <c r="N406" s="16" t="s">
        <v>852</v>
      </c>
      <c r="O406" s="16">
        <v>405</v>
      </c>
      <c r="P406" s="16" t="s">
        <v>446</v>
      </c>
      <c r="Q406" s="16" t="s">
        <v>451</v>
      </c>
      <c r="R406" s="16" t="s">
        <v>91</v>
      </c>
      <c r="S406" s="16" t="s">
        <v>92</v>
      </c>
      <c r="T406" s="16" t="s">
        <v>90</v>
      </c>
      <c r="U406" s="16" t="s">
        <v>445</v>
      </c>
      <c r="V406" s="16" t="s">
        <v>94</v>
      </c>
      <c r="W406" s="16" t="s">
        <v>450</v>
      </c>
    </row>
    <row r="407" spans="1:23" x14ac:dyDescent="0.2">
      <c r="A407" s="9" t="s">
        <v>851</v>
      </c>
      <c r="B407" s="9">
        <f ca="1">+IF(A407=WORLDCUP!$BI$112,1,0)</f>
        <v>0</v>
      </c>
      <c r="C407" s="9" t="str">
        <f ca="1">+WORLDCUP!BD62</f>
        <v>Costa de Marfil</v>
      </c>
      <c r="D407" s="9" t="str">
        <f ca="1">+WORLDCUP!BD67</f>
        <v>Austria</v>
      </c>
      <c r="E407" s="9" t="str">
        <f ca="1">+WORLDCUP!BD59</f>
        <v>Catar</v>
      </c>
      <c r="F407" s="9" t="str">
        <f ca="1">+WORLDCUP!BD60</f>
        <v>Haití</v>
      </c>
      <c r="G407" s="9" t="str">
        <f ca="1">+WORLDCUP!BD58</f>
        <v>Corea del Sur</v>
      </c>
      <c r="H407" s="9" t="str">
        <f ca="1">+WORLDCUP!BD63</f>
        <v>Suecia</v>
      </c>
      <c r="I407" s="9" t="str">
        <f ca="1">+WORLDCUP!BD69</f>
        <v>Ghana</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x14ac:dyDescent="0.2">
      <c r="A408" s="9" t="s">
        <v>850</v>
      </c>
      <c r="B408" s="9">
        <f ca="1">+IF(A408=WORLDCUP!$BI$112,1,0)</f>
        <v>0</v>
      </c>
      <c r="C408" s="9" t="str">
        <f ca="1">+WORLDCUP!BD62</f>
        <v>Costa de Marfil</v>
      </c>
      <c r="D408" s="9" t="str">
        <f ca="1">+WORLDCUP!BD66</f>
        <v>Irak</v>
      </c>
      <c r="E408" s="9" t="str">
        <f ca="1">+WORLDCUP!BD59</f>
        <v>Catar</v>
      </c>
      <c r="F408" s="9" t="str">
        <f ca="1">+WORLDCUP!BD60</f>
        <v>Haití</v>
      </c>
      <c r="G408" s="9" t="str">
        <f ca="1">+WORLDCUP!BD58</f>
        <v>Corea del Sur</v>
      </c>
      <c r="H408" s="9" t="str">
        <f ca="1">+WORLDCUP!BD63</f>
        <v>Suecia</v>
      </c>
      <c r="I408" s="9" t="str">
        <f ca="1">+WORLDCUP!BD69</f>
        <v>Ghana</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x14ac:dyDescent="0.2">
      <c r="A409" s="9" t="s">
        <v>849</v>
      </c>
      <c r="B409" s="9">
        <f ca="1">+IF(A409=WORLDCUP!$BI$112,1,0)</f>
        <v>0</v>
      </c>
      <c r="C409" s="9" t="str">
        <f ca="1">+WORLDCUP!BD62</f>
        <v>Costa de Marfil</v>
      </c>
      <c r="D409" s="9" t="str">
        <f ca="1">+WORLDCUP!BD67</f>
        <v>Austria</v>
      </c>
      <c r="E409" s="9" t="str">
        <f ca="1">+WORLDCUP!BD59</f>
        <v>Catar</v>
      </c>
      <c r="F409" s="9" t="str">
        <f ca="1">+WORLDCUP!BD60</f>
        <v>Haití</v>
      </c>
      <c r="G409" s="9" t="str">
        <f ca="1">+WORLDCUP!BD58</f>
        <v>Corea del Sur</v>
      </c>
      <c r="H409" s="9" t="str">
        <f ca="1">+WORLDCUP!BD63</f>
        <v>Suecia</v>
      </c>
      <c r="I409" s="9" t="str">
        <f ca="1">+WORLDCUP!BD69</f>
        <v>Ghana</v>
      </c>
      <c r="J409" s="9" t="str">
        <f ca="1">+WORLDCUP!BD66</f>
        <v>Irak</v>
      </c>
      <c r="N409" s="16" t="s">
        <v>849</v>
      </c>
      <c r="O409" s="16">
        <v>408</v>
      </c>
      <c r="P409" s="16" t="s">
        <v>94</v>
      </c>
      <c r="Q409" s="16" t="s">
        <v>451</v>
      </c>
      <c r="R409" s="16" t="s">
        <v>91</v>
      </c>
      <c r="S409" s="16" t="s">
        <v>92</v>
      </c>
      <c r="T409" s="16" t="s">
        <v>90</v>
      </c>
      <c r="U409" s="16" t="s">
        <v>95</v>
      </c>
      <c r="V409" s="16" t="s">
        <v>453</v>
      </c>
      <c r="W409" s="16" t="s">
        <v>450</v>
      </c>
    </row>
    <row r="410" spans="1:23" x14ac:dyDescent="0.2">
      <c r="A410" s="9" t="s">
        <v>848</v>
      </c>
      <c r="B410" s="9">
        <f ca="1">+IF(A410=WORLDCUP!$BI$112,1,0)</f>
        <v>0</v>
      </c>
      <c r="C410" s="9" t="str">
        <f ca="1">+WORLDCUP!BD62</f>
        <v>Costa de Marfil</v>
      </c>
      <c r="D410" s="9" t="str">
        <f ca="1">+WORLDCUP!BD67</f>
        <v>Austria</v>
      </c>
      <c r="E410" s="9" t="str">
        <f ca="1">+WORLDCUP!BD59</f>
        <v>Catar</v>
      </c>
      <c r="F410" s="9" t="str">
        <f ca="1">+WORLDCUP!BD60</f>
        <v>Haití</v>
      </c>
      <c r="G410" s="9" t="str">
        <f ca="1">+WORLDCUP!BD58</f>
        <v>Corea del Sur</v>
      </c>
      <c r="H410" s="9" t="str">
        <f ca="1">+WORLDCUP!BD63</f>
        <v>Suecia</v>
      </c>
      <c r="I410" s="9" t="str">
        <f ca="1">+WORLDCUP!BD66</f>
        <v>Irak</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x14ac:dyDescent="0.2">
      <c r="A411" s="9" t="s">
        <v>847</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Corea del Sur</v>
      </c>
      <c r="H411" s="9" t="str">
        <f ca="1">+WORLDCUP!BD63</f>
        <v>Suecia</v>
      </c>
      <c r="I411" s="9" t="str">
        <f ca="1">+WORLDCUP!BD69</f>
        <v>Ghana</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x14ac:dyDescent="0.2">
      <c r="A412" s="9" t="s">
        <v>846</v>
      </c>
      <c r="B412" s="9">
        <f ca="1">+IF(A412=WORLDCUP!$BI$112,1,0)</f>
        <v>0</v>
      </c>
      <c r="C412" s="9" t="str">
        <f ca="1">+WORLDCUP!BD65</f>
        <v>Arabia Saudita</v>
      </c>
      <c r="D412" s="9" t="str">
        <f ca="1">+WORLDCUP!BD67</f>
        <v>Austria</v>
      </c>
      <c r="E412" s="9" t="str">
        <f ca="1">+WORLDCUP!BD59</f>
        <v>Catar</v>
      </c>
      <c r="F412" s="9" t="str">
        <f ca="1">+WORLDCUP!BD60</f>
        <v>Haití</v>
      </c>
      <c r="G412" s="9" t="str">
        <f ca="1">+WORLDCUP!BD58</f>
        <v>Corea del Sur</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x14ac:dyDescent="0.2">
      <c r="A413" s="9" t="s">
        <v>845</v>
      </c>
      <c r="B413" s="9">
        <f ca="1">+IF(A413=WORLDCUP!$BI$112,1,0)</f>
        <v>0</v>
      </c>
      <c r="C413" s="9" t="str">
        <f ca="1">+WORLDCUP!BD65</f>
        <v>Arabia Saudita</v>
      </c>
      <c r="D413" s="9" t="str">
        <f ca="1">+WORLDCUP!BD67</f>
        <v>Austria</v>
      </c>
      <c r="E413" s="9" t="str">
        <f ca="1">+WORLDCUP!BD59</f>
        <v>Catar</v>
      </c>
      <c r="F413" s="9" t="str">
        <f ca="1">+WORLDCUP!BD60</f>
        <v>Haití</v>
      </c>
      <c r="G413" s="9" t="str">
        <f ca="1">+WORLDCUP!BD58</f>
        <v>Corea del Sur</v>
      </c>
      <c r="H413" s="9" t="str">
        <f ca="1">+WORLDCUP!BD63</f>
        <v>Suecia</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x14ac:dyDescent="0.2">
      <c r="A414" s="9" t="s">
        <v>777</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Corea del Sur</v>
      </c>
      <c r="H414" s="9" t="str">
        <f ca="1">+WORLDCUP!BD63</f>
        <v>Suecia</v>
      </c>
      <c r="I414" s="9" t="str">
        <f ca="1">+WORLDCUP!BD69</f>
        <v>Ghana</v>
      </c>
      <c r="J414" s="9" t="str">
        <f ca="1">+WORLDCUP!BD66</f>
        <v>Irak</v>
      </c>
      <c r="N414" s="16" t="s">
        <v>777</v>
      </c>
      <c r="O414" s="16">
        <v>413</v>
      </c>
      <c r="P414" s="16" t="s">
        <v>446</v>
      </c>
      <c r="Q414" s="16" t="s">
        <v>94</v>
      </c>
      <c r="R414" s="16" t="s">
        <v>91</v>
      </c>
      <c r="S414" s="16" t="s">
        <v>92</v>
      </c>
      <c r="T414" s="16" t="s">
        <v>90</v>
      </c>
      <c r="U414" s="16" t="s">
        <v>95</v>
      </c>
      <c r="V414" s="16" t="s">
        <v>453</v>
      </c>
      <c r="W414" s="16" t="s">
        <v>450</v>
      </c>
    </row>
    <row r="415" spans="1:23" x14ac:dyDescent="0.2">
      <c r="A415" s="9" t="s">
        <v>844</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Corea del Sur</v>
      </c>
      <c r="H415" s="9" t="str">
        <f ca="1">+WORLDCUP!BD63</f>
        <v>Suecia</v>
      </c>
      <c r="I415" s="9" t="str">
        <f ca="1">+WORLDCUP!BD66</f>
        <v>Irak</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x14ac:dyDescent="0.2">
      <c r="A416" s="9" t="s">
        <v>843</v>
      </c>
      <c r="B416" s="9">
        <f ca="1">+IF(A416=WORLDCUP!$BI$112,1,0)</f>
        <v>0</v>
      </c>
      <c r="C416" s="9" t="str">
        <f ca="1">+WORLDCUP!BD65</f>
        <v>Arabia Saudita</v>
      </c>
      <c r="D416" s="9" t="str">
        <f ca="1">+WORLDCUP!BD67</f>
        <v>Austria</v>
      </c>
      <c r="E416" s="9" t="str">
        <f ca="1">+WORLDCUP!BD59</f>
        <v>Catar</v>
      </c>
      <c r="F416" s="9" t="str">
        <f ca="1">+WORLDCUP!BD60</f>
        <v>Haití</v>
      </c>
      <c r="G416" s="9" t="str">
        <f ca="1">+WORLDCUP!BD58</f>
        <v>Corea del Sur</v>
      </c>
      <c r="H416" s="9" t="str">
        <f ca="1">+WORLDCUP!BD63</f>
        <v>Suecia</v>
      </c>
      <c r="I416" s="9" t="str">
        <f ca="1">+WORLDCUP!BD62</f>
        <v>Costa de Marfil</v>
      </c>
      <c r="J416" s="9" t="str">
        <f ca="1">+WORLDCUP!BD66</f>
        <v>Irak</v>
      </c>
      <c r="N416" s="16" t="s">
        <v>843</v>
      </c>
      <c r="O416" s="16">
        <v>415</v>
      </c>
      <c r="P416" s="16" t="s">
        <v>446</v>
      </c>
      <c r="Q416" s="16" t="s">
        <v>451</v>
      </c>
      <c r="R416" s="16" t="s">
        <v>91</v>
      </c>
      <c r="S416" s="16" t="s">
        <v>92</v>
      </c>
      <c r="T416" s="16" t="s">
        <v>90</v>
      </c>
      <c r="U416" s="16" t="s">
        <v>95</v>
      </c>
      <c r="V416" s="16" t="s">
        <v>94</v>
      </c>
      <c r="W416" s="16" t="s">
        <v>450</v>
      </c>
    </row>
    <row r="417" spans="1:23" x14ac:dyDescent="0.2">
      <c r="A417" s="9" t="s">
        <v>842</v>
      </c>
      <c r="B417" s="9">
        <f ca="1">+IF(A417=WORLDCUP!$BI$112,1,0)</f>
        <v>0</v>
      </c>
      <c r="C417" s="9" t="str">
        <f ca="1">+WORLDCUP!BD62</f>
        <v>Costa de Marfil</v>
      </c>
      <c r="D417" s="9" t="str">
        <f ca="1">+WORLDCUP!BD64</f>
        <v>Irán</v>
      </c>
      <c r="E417" s="9" t="str">
        <f ca="1">+WORLDCUP!BD59</f>
        <v>Catar</v>
      </c>
      <c r="F417" s="9" t="str">
        <f ca="1">+WORLDCUP!BD60</f>
        <v>Haití</v>
      </c>
      <c r="G417" s="9" t="str">
        <f ca="1">+WORLDCUP!BD58</f>
        <v>Corea del Sur</v>
      </c>
      <c r="H417" s="9" t="str">
        <f ca="1">+WORLDCUP!BD63</f>
        <v>Suecia</v>
      </c>
      <c r="I417" s="9" t="str">
        <f ca="1">+WORLDCUP!BD69</f>
        <v>Ghana</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x14ac:dyDescent="0.2">
      <c r="A418" s="9" t="s">
        <v>841</v>
      </c>
      <c r="B418" s="9">
        <f ca="1">+IF(A418=WORLDCUP!$BI$112,1,0)</f>
        <v>0</v>
      </c>
      <c r="C418" s="9" t="str">
        <f ca="1">+WORLDCUP!BD62</f>
        <v>Costa de Marfil</v>
      </c>
      <c r="D418" s="9" t="str">
        <f ca="1">+WORLDCUP!BD64</f>
        <v>Irán</v>
      </c>
      <c r="E418" s="9" t="str">
        <f ca="1">+WORLDCUP!BD59</f>
        <v>Catar</v>
      </c>
      <c r="F418" s="9" t="str">
        <f ca="1">+WORLDCUP!BD60</f>
        <v>Haití</v>
      </c>
      <c r="G418" s="9" t="str">
        <f ca="1">+WORLDCUP!BD58</f>
        <v>Corea del Sur</v>
      </c>
      <c r="H418" s="9" t="str">
        <f ca="1">+WORLDCUP!BD63</f>
        <v>Suecia</v>
      </c>
      <c r="I418" s="9" t="str">
        <f ca="1">+WORLDCUP!BD69</f>
        <v>Ghana</v>
      </c>
      <c r="J418" s="9" t="str">
        <f ca="1">+WORLDCUP!BD67</f>
        <v>Austria</v>
      </c>
      <c r="N418" s="16" t="s">
        <v>841</v>
      </c>
      <c r="O418" s="16">
        <v>417</v>
      </c>
      <c r="P418" s="16" t="s">
        <v>94</v>
      </c>
      <c r="Q418" s="16" t="s">
        <v>445</v>
      </c>
      <c r="R418" s="16" t="s">
        <v>91</v>
      </c>
      <c r="S418" s="16" t="s">
        <v>92</v>
      </c>
      <c r="T418" s="16" t="s">
        <v>90</v>
      </c>
      <c r="U418" s="16" t="s">
        <v>95</v>
      </c>
      <c r="V418" s="16" t="s">
        <v>453</v>
      </c>
      <c r="W418" s="16" t="s">
        <v>451</v>
      </c>
    </row>
    <row r="419" spans="1:23" x14ac:dyDescent="0.2">
      <c r="A419" s="9" t="s">
        <v>840</v>
      </c>
      <c r="B419" s="9">
        <f ca="1">+IF(A419=WORLDCUP!$BI$112,1,0)</f>
        <v>0</v>
      </c>
      <c r="C419" s="9" t="str">
        <f ca="1">+WORLDCUP!BD62</f>
        <v>Costa de Marfil</v>
      </c>
      <c r="D419" s="9" t="str">
        <f ca="1">+WORLDCUP!BD64</f>
        <v>Irán</v>
      </c>
      <c r="E419" s="9" t="str">
        <f ca="1">+WORLDCUP!BD59</f>
        <v>Catar</v>
      </c>
      <c r="F419" s="9" t="str">
        <f ca="1">+WORLDCUP!BD60</f>
        <v>Haití</v>
      </c>
      <c r="G419" s="9" t="str">
        <f ca="1">+WORLDCUP!BD58</f>
        <v>Corea del Sur</v>
      </c>
      <c r="H419" s="9" t="str">
        <f ca="1">+WORLDCUP!BD63</f>
        <v>Suecia</v>
      </c>
      <c r="I419" s="9" t="str">
        <f ca="1">+WORLDCUP!BD67</f>
        <v>Austria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x14ac:dyDescent="0.2">
      <c r="A420" s="9" t="s">
        <v>839</v>
      </c>
      <c r="B420" s="9">
        <f ca="1">+IF(A420=WORLDCUP!$BI$112,1,0)</f>
        <v>0</v>
      </c>
      <c r="C420" s="9" t="str">
        <f ca="1">+WORLDCUP!BD62</f>
        <v>Costa de Marfil</v>
      </c>
      <c r="D420" s="9" t="str">
        <f ca="1">+WORLDCUP!BD64</f>
        <v>Irán</v>
      </c>
      <c r="E420" s="9" t="str">
        <f ca="1">+WORLDCUP!BD59</f>
        <v>Catar</v>
      </c>
      <c r="F420" s="9" t="str">
        <f ca="1">+WORLDCUP!BD60</f>
        <v>Haití</v>
      </c>
      <c r="G420" s="9" t="str">
        <f ca="1">+WORLDCUP!BD58</f>
        <v>Corea del Sur</v>
      </c>
      <c r="H420" s="9" t="str">
        <f ca="1">+WORLDCUP!BD63</f>
        <v>Suecia</v>
      </c>
      <c r="I420" s="9" t="str">
        <f ca="1">+WORLDCUP!BD69</f>
        <v>Ghana</v>
      </c>
      <c r="J420" s="9" t="str">
        <f ca="1">+WORLDCUP!BD66</f>
        <v>Irak</v>
      </c>
      <c r="N420" s="16" t="s">
        <v>839</v>
      </c>
      <c r="O420" s="16">
        <v>419</v>
      </c>
      <c r="P420" s="16" t="s">
        <v>94</v>
      </c>
      <c r="Q420" s="16" t="s">
        <v>445</v>
      </c>
      <c r="R420" s="16" t="s">
        <v>91</v>
      </c>
      <c r="S420" s="16" t="s">
        <v>92</v>
      </c>
      <c r="T420" s="16" t="s">
        <v>90</v>
      </c>
      <c r="U420" s="16" t="s">
        <v>95</v>
      </c>
      <c r="V420" s="16" t="s">
        <v>453</v>
      </c>
      <c r="W420" s="16" t="s">
        <v>450</v>
      </c>
    </row>
    <row r="421" spans="1:23" x14ac:dyDescent="0.2">
      <c r="A421" s="9" t="s">
        <v>838</v>
      </c>
      <c r="B421" s="9">
        <f ca="1">+IF(A421=WORLDCUP!$BI$112,1,0)</f>
        <v>0</v>
      </c>
      <c r="C421" s="9" t="str">
        <f ca="1">+WORLDCUP!BD62</f>
        <v>Costa de Marfil</v>
      </c>
      <c r="D421" s="9" t="str">
        <f ca="1">+WORLDCUP!BD64</f>
        <v>Irán</v>
      </c>
      <c r="E421" s="9" t="str">
        <f ca="1">+WORLDCUP!BD59</f>
        <v>Catar</v>
      </c>
      <c r="F421" s="9" t="str">
        <f ca="1">+WORLDCUP!BD60</f>
        <v>Haití</v>
      </c>
      <c r="G421" s="9" t="str">
        <f ca="1">+WORLDCUP!BD58</f>
        <v>Corea del Sur</v>
      </c>
      <c r="H421" s="9" t="str">
        <f ca="1">+WORLDCUP!BD63</f>
        <v>Suecia</v>
      </c>
      <c r="I421" s="9" t="str">
        <f ca="1">+WORLDCUP!BD66</f>
        <v>Irak</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x14ac:dyDescent="0.2">
      <c r="A422" s="9" t="s">
        <v>837</v>
      </c>
      <c r="B422" s="9">
        <f ca="1">+IF(A422=WORLDCUP!$BI$112,1,0)</f>
        <v>0</v>
      </c>
      <c r="C422" s="9" t="str">
        <f ca="1">+WORLDCUP!BD62</f>
        <v>Costa de Marfil</v>
      </c>
      <c r="D422" s="9" t="str">
        <f ca="1">+WORLDCUP!BD64</f>
        <v>Irán</v>
      </c>
      <c r="E422" s="9" t="str">
        <f ca="1">+WORLDCUP!BD59</f>
        <v>Catar</v>
      </c>
      <c r="F422" s="9" t="str">
        <f ca="1">+WORLDCUP!BD60</f>
        <v>Haití</v>
      </c>
      <c r="G422" s="9" t="str">
        <f ca="1">+WORLDCUP!BD58</f>
        <v>Corea del Sur</v>
      </c>
      <c r="H422" s="9" t="str">
        <f ca="1">+WORLDCUP!BD63</f>
        <v>Suecia</v>
      </c>
      <c r="I422" s="9" t="str">
        <f ca="1">+WORLDCUP!BD66</f>
        <v>Irak</v>
      </c>
      <c r="J422" s="9" t="str">
        <f ca="1">+WORLDCUP!BD67</f>
        <v>Austria</v>
      </c>
      <c r="N422" s="16" t="s">
        <v>837</v>
      </c>
      <c r="O422" s="16">
        <v>421</v>
      </c>
      <c r="P422" s="16" t="s">
        <v>94</v>
      </c>
      <c r="Q422" s="16" t="s">
        <v>445</v>
      </c>
      <c r="R422" s="16" t="s">
        <v>91</v>
      </c>
      <c r="S422" s="16" t="s">
        <v>92</v>
      </c>
      <c r="T422" s="16" t="s">
        <v>90</v>
      </c>
      <c r="U422" s="16" t="s">
        <v>95</v>
      </c>
      <c r="V422" s="16" t="s">
        <v>450</v>
      </c>
      <c r="W422" s="16" t="s">
        <v>451</v>
      </c>
    </row>
    <row r="423" spans="1:23" x14ac:dyDescent="0.2">
      <c r="A423" s="9" t="s">
        <v>836</v>
      </c>
      <c r="B423" s="9">
        <f ca="1">+IF(A423=WORLDCUP!$BI$112,1,0)</f>
        <v>0</v>
      </c>
      <c r="C423" s="9" t="str">
        <f ca="1">+WORLDCUP!BD65</f>
        <v>Arabia Saudita</v>
      </c>
      <c r="D423" s="9" t="str">
        <f ca="1">+WORLDCUP!BD64</f>
        <v>Irán</v>
      </c>
      <c r="E423" s="9" t="str">
        <f ca="1">+WORLDCUP!BD59</f>
        <v>Catar</v>
      </c>
      <c r="F423" s="9" t="str">
        <f ca="1">+WORLDCUP!BD60</f>
        <v>Haití</v>
      </c>
      <c r="G423" s="9" t="str">
        <f ca="1">+WORLDCUP!BD58</f>
        <v>Corea del Sur</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x14ac:dyDescent="0.2">
      <c r="A424" s="9" t="s">
        <v>835</v>
      </c>
      <c r="B424" s="9">
        <f ca="1">+IF(A424=WORLDCUP!$BI$112,1,0)</f>
        <v>0</v>
      </c>
      <c r="C424" s="9" t="str">
        <f ca="1">+WORLDCUP!BD65</f>
        <v>Arabia Saudita</v>
      </c>
      <c r="D424" s="9" t="str">
        <f ca="1">+WORLDCUP!BD64</f>
        <v>Irán</v>
      </c>
      <c r="E424" s="9" t="str">
        <f ca="1">+WORLDCUP!BD59</f>
        <v>Catar</v>
      </c>
      <c r="F424" s="9" t="str">
        <f ca="1">+WORLDCUP!BD60</f>
        <v>Haití</v>
      </c>
      <c r="G424" s="9" t="str">
        <f ca="1">+WORLDCUP!BD58</f>
        <v>Corea del Sur</v>
      </c>
      <c r="H424" s="9" t="str">
        <f ca="1">+WORLDCUP!BD63</f>
        <v>Suecia</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x14ac:dyDescent="0.2">
      <c r="A425" s="9" t="s">
        <v>834</v>
      </c>
      <c r="B425" s="9">
        <f ca="1">+IF(A425=WORLDCUP!$BI$112,1,0)</f>
        <v>0</v>
      </c>
      <c r="C425" s="9" t="str">
        <f ca="1">+WORLDCUP!BD65</f>
        <v>Arabia Saudita</v>
      </c>
      <c r="D425" s="9" t="str">
        <f ca="1">+WORLDCUP!BD64</f>
        <v>Irán</v>
      </c>
      <c r="E425" s="9" t="str">
        <f ca="1">+WORLDCUP!BD59</f>
        <v>Catar</v>
      </c>
      <c r="F425" s="9" t="str">
        <f ca="1">+WORLDCUP!BD60</f>
        <v>Haití</v>
      </c>
      <c r="G425" s="9" t="str">
        <f ca="1">+WORLDCUP!BD58</f>
        <v>Corea del Sur</v>
      </c>
      <c r="H425" s="9" t="str">
        <f ca="1">+WORLDCUP!BD63</f>
        <v>Suecia</v>
      </c>
      <c r="I425" s="9" t="str">
        <f ca="1">+WORLDCUP!BD62</f>
        <v>Costa de Marfil</v>
      </c>
      <c r="J425" s="9" t="str">
        <f ca="1">+WORLDCUP!BD67</f>
        <v>Austria</v>
      </c>
      <c r="N425" s="16" t="s">
        <v>834</v>
      </c>
      <c r="O425" s="16">
        <v>424</v>
      </c>
      <c r="P425" s="16" t="s">
        <v>446</v>
      </c>
      <c r="Q425" s="16" t="s">
        <v>445</v>
      </c>
      <c r="R425" s="16" t="s">
        <v>91</v>
      </c>
      <c r="S425" s="16" t="s">
        <v>92</v>
      </c>
      <c r="T425" s="16" t="s">
        <v>90</v>
      </c>
      <c r="U425" s="16" t="s">
        <v>95</v>
      </c>
      <c r="V425" s="16" t="s">
        <v>94</v>
      </c>
      <c r="W425" s="16" t="s">
        <v>451</v>
      </c>
    </row>
    <row r="426" spans="1:23" x14ac:dyDescent="0.2">
      <c r="A426" s="9" t="s">
        <v>833</v>
      </c>
      <c r="B426" s="9">
        <f ca="1">+IF(A426=WORLDCUP!$BI$112,1,0)</f>
        <v>0</v>
      </c>
      <c r="C426" s="9" t="str">
        <f ca="1">+WORLDCUP!BD65</f>
        <v>Arabia Saudita</v>
      </c>
      <c r="D426" s="9" t="str">
        <f ca="1">+WORLDCUP!BD64</f>
        <v>Irán</v>
      </c>
      <c r="E426" s="9" t="str">
        <f ca="1">+WORLDCUP!BD59</f>
        <v>Catar</v>
      </c>
      <c r="F426" s="9" t="str">
        <f ca="1">+WORLDCUP!BD60</f>
        <v>Haití</v>
      </c>
      <c r="G426" s="9" t="str">
        <f ca="1">+WORLDCUP!BD58</f>
        <v>Corea del Sur</v>
      </c>
      <c r="H426" s="9" t="str">
        <f ca="1">+WORLDCUP!BD63</f>
        <v>Suecia</v>
      </c>
      <c r="I426" s="9" t="str">
        <f ca="1">+WORLDCUP!BD62</f>
        <v>Costa de Marfil</v>
      </c>
      <c r="J426" s="9" t="str">
        <f ca="1">+WORLDCUP!BD66</f>
        <v>Irak</v>
      </c>
      <c r="N426" s="16" t="s">
        <v>833</v>
      </c>
      <c r="O426" s="16">
        <v>425</v>
      </c>
      <c r="P426" s="16" t="s">
        <v>446</v>
      </c>
      <c r="Q426" s="16" t="s">
        <v>445</v>
      </c>
      <c r="R426" s="16" t="s">
        <v>91</v>
      </c>
      <c r="S426" s="16" t="s">
        <v>92</v>
      </c>
      <c r="T426" s="16" t="s">
        <v>90</v>
      </c>
      <c r="U426" s="16" t="s">
        <v>95</v>
      </c>
      <c r="V426" s="16" t="s">
        <v>94</v>
      </c>
      <c r="W426" s="16" t="s">
        <v>450</v>
      </c>
    </row>
    <row r="427" spans="1:23" x14ac:dyDescent="0.2">
      <c r="A427" s="9" t="s">
        <v>832</v>
      </c>
      <c r="B427" s="9">
        <f ca="1">+IF(A427=WORLDCUP!$BI$112,1,0)</f>
        <v>0</v>
      </c>
      <c r="C427" s="9" t="str">
        <f ca="1">+WORLDCUP!BD66</f>
        <v>Irak</v>
      </c>
      <c r="D427" s="9" t="str">
        <f ca="1">+WORLDCUP!BD67</f>
        <v>Austria</v>
      </c>
      <c r="E427" s="9" t="str">
        <f ca="1">+WORLDCUP!BD59</f>
        <v>Catar</v>
      </c>
      <c r="F427" s="9" t="str">
        <f ca="1">+WORLDCUP!BD60</f>
        <v>Haití</v>
      </c>
      <c r="G427" s="9" t="str">
        <f ca="1">+WORLDCUP!BD58</f>
        <v>Corea del Sur</v>
      </c>
      <c r="H427" s="9" t="str">
        <f ca="1">+WORLDCUP!BD61</f>
        <v>Australia</v>
      </c>
      <c r="I427" s="9" t="str">
        <f ca="1">+WORLDCUP!BD69</f>
        <v>Ghana</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x14ac:dyDescent="0.2">
      <c r="A428" s="9" t="s">
        <v>831</v>
      </c>
      <c r="B428" s="9">
        <f ca="1">+IF(A428=WORLDCUP!$BI$112,1,0)</f>
        <v>0</v>
      </c>
      <c r="C428" s="9" t="str">
        <f ca="1">+WORLDCUP!BD65</f>
        <v>Arabia Saudita</v>
      </c>
      <c r="D428" s="9" t="str">
        <f ca="1">+WORLDCUP!BD67</f>
        <v>Austria</v>
      </c>
      <c r="E428" s="9" t="str">
        <f ca="1">+WORLDCUP!BD59</f>
        <v>Catar</v>
      </c>
      <c r="F428" s="9" t="str">
        <f ca="1">+WORLDCUP!BD60</f>
        <v>Haití</v>
      </c>
      <c r="G428" s="9" t="str">
        <f ca="1">+WORLDCUP!BD58</f>
        <v>Corea del Sur</v>
      </c>
      <c r="H428" s="9" t="str">
        <f ca="1">+WORLDCUP!BD61</f>
        <v>Australia</v>
      </c>
      <c r="I428" s="9" t="str">
        <f ca="1">+WORLDCUP!BD69</f>
        <v>Ghana</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x14ac:dyDescent="0.2">
      <c r="A429" s="9" t="s">
        <v>830</v>
      </c>
      <c r="B429" s="9">
        <f ca="1">+IF(A429=WORLDCUP!$BI$112,1,0)</f>
        <v>0</v>
      </c>
      <c r="C429" s="9" t="str">
        <f ca="1">+WORLDCUP!BD65</f>
        <v>Arabia Saudita</v>
      </c>
      <c r="D429" s="9" t="str">
        <f ca="1">+WORLDCUP!BD66</f>
        <v>Irak</v>
      </c>
      <c r="E429" s="9" t="str">
        <f ca="1">+WORLDCUP!BD59</f>
        <v>Catar</v>
      </c>
      <c r="F429" s="9" t="str">
        <f ca="1">+WORLDCUP!BD60</f>
        <v>Haití</v>
      </c>
      <c r="G429" s="9" t="str">
        <f ca="1">+WORLDCUP!BD58</f>
        <v>Corea del Sur</v>
      </c>
      <c r="H429" s="9" t="str">
        <f ca="1">+WORLDCUP!BD61</f>
        <v>Australia</v>
      </c>
      <c r="I429" s="9" t="str">
        <f ca="1">+WORLDCUP!BD69</f>
        <v>Ghana</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x14ac:dyDescent="0.2">
      <c r="A430" s="9" t="s">
        <v>829</v>
      </c>
      <c r="B430" s="9">
        <f ca="1">+IF(A430=WORLDCUP!$BI$112,1,0)</f>
        <v>0</v>
      </c>
      <c r="C430" s="9" t="str">
        <f ca="1">+WORLDCUP!BD65</f>
        <v>Arabia Saudita</v>
      </c>
      <c r="D430" s="9" t="str">
        <f ca="1">+WORLDCUP!BD67</f>
        <v>Austria</v>
      </c>
      <c r="E430" s="9" t="str">
        <f ca="1">+WORLDCUP!BD59</f>
        <v>Catar</v>
      </c>
      <c r="F430" s="9" t="str">
        <f ca="1">+WORLDCUP!BD60</f>
        <v>Haití</v>
      </c>
      <c r="G430" s="9" t="str">
        <f ca="1">+WORLDCUP!BD58</f>
        <v>Corea del Sur</v>
      </c>
      <c r="H430" s="9" t="str">
        <f ca="1">+WORLDCUP!BD61</f>
        <v>Australia</v>
      </c>
      <c r="I430" s="9" t="str">
        <f ca="1">+WORLDCUP!BD69</f>
        <v>Ghana</v>
      </c>
      <c r="J430" s="9" t="str">
        <f ca="1">+WORLDCUP!BD66</f>
        <v>Irak</v>
      </c>
      <c r="N430" s="16" t="s">
        <v>829</v>
      </c>
      <c r="O430" s="16">
        <v>429</v>
      </c>
      <c r="P430" s="16" t="s">
        <v>446</v>
      </c>
      <c r="Q430" s="16" t="s">
        <v>451</v>
      </c>
      <c r="R430" s="16" t="s">
        <v>91</v>
      </c>
      <c r="S430" s="16" t="s">
        <v>92</v>
      </c>
      <c r="T430" s="16" t="s">
        <v>90</v>
      </c>
      <c r="U430" s="16" t="s">
        <v>93</v>
      </c>
      <c r="V430" s="16" t="s">
        <v>453</v>
      </c>
      <c r="W430" s="16" t="s">
        <v>450</v>
      </c>
    </row>
    <row r="431" spans="1:23" x14ac:dyDescent="0.2">
      <c r="A431" s="9" t="s">
        <v>828</v>
      </c>
      <c r="B431" s="9">
        <f ca="1">+IF(A431=WORLDCUP!$BI$112,1,0)</f>
        <v>0</v>
      </c>
      <c r="C431" s="9" t="str">
        <f ca="1">+WORLDCUP!BD65</f>
        <v>Arabia Saudita</v>
      </c>
      <c r="D431" s="9" t="str">
        <f ca="1">+WORLDCUP!BD67</f>
        <v>Austria</v>
      </c>
      <c r="E431" s="9" t="str">
        <f ca="1">+WORLDCUP!BD59</f>
        <v>Catar</v>
      </c>
      <c r="F431" s="9" t="str">
        <f ca="1">+WORLDCUP!BD60</f>
        <v>Haití</v>
      </c>
      <c r="G431" s="9" t="str">
        <f ca="1">+WORLDCUP!BD58</f>
        <v>Corea del Sur</v>
      </c>
      <c r="H431" s="9" t="str">
        <f ca="1">+WORLDCUP!BD61</f>
        <v>Australia</v>
      </c>
      <c r="I431" s="9" t="str">
        <f ca="1">+WORLDCUP!BD66</f>
        <v>Irak</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x14ac:dyDescent="0.2">
      <c r="A432" s="9" t="s">
        <v>827</v>
      </c>
      <c r="B432" s="9">
        <f ca="1">+IF(A432=WORLDCUP!$BI$112,1,0)</f>
        <v>0</v>
      </c>
      <c r="C432" s="9" t="str">
        <f ca="1">+WORLDCUP!BD60</f>
        <v>Haití</v>
      </c>
      <c r="D432" s="9" t="str">
        <f ca="1">+WORLDCUP!BD67</f>
        <v>Austria</v>
      </c>
      <c r="E432" s="9" t="str">
        <f ca="1">+WORLDCUP!BD59</f>
        <v>Catar</v>
      </c>
      <c r="F432" s="9" t="str">
        <f ca="1">+WORLDCUP!BD61</f>
        <v>Australia</v>
      </c>
      <c r="G432" s="9" t="str">
        <f ca="1">+WORLDCUP!BD58</f>
        <v>Corea del Sur</v>
      </c>
      <c r="H432" s="9" t="str">
        <f ca="1">+WORLDCUP!BD64</f>
        <v>Irán</v>
      </c>
      <c r="I432" s="9" t="str">
        <f ca="1">+WORLDCUP!BD69</f>
        <v>Ghana</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x14ac:dyDescent="0.2">
      <c r="A433" s="9" t="s">
        <v>826</v>
      </c>
      <c r="B433" s="9">
        <f ca="1">+IF(A433=WORLDCUP!$BI$112,1,0)</f>
        <v>0</v>
      </c>
      <c r="C433" s="9" t="str">
        <f ca="1">+WORLDCUP!BD66</f>
        <v>Irak</v>
      </c>
      <c r="D433" s="9" t="str">
        <f ca="1">+WORLDCUP!BD64</f>
        <v>Irán</v>
      </c>
      <c r="E433" s="9" t="str">
        <f ca="1">+WORLDCUP!BD59</f>
        <v>Catar</v>
      </c>
      <c r="F433" s="9" t="str">
        <f ca="1">+WORLDCUP!BD60</f>
        <v>Haití</v>
      </c>
      <c r="G433" s="9" t="str">
        <f ca="1">+WORLDCUP!BD58</f>
        <v>Corea del Sur</v>
      </c>
      <c r="H433" s="9" t="str">
        <f ca="1">+WORLDCUP!BD61</f>
        <v>Australia</v>
      </c>
      <c r="I433" s="9" t="str">
        <f ca="1">+WORLDCUP!BD69</f>
        <v>Ghana</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x14ac:dyDescent="0.2">
      <c r="A434" s="9" t="s">
        <v>825</v>
      </c>
      <c r="B434" s="9">
        <f ca="1">+IF(A434=WORLDCUP!$BI$112,1,0)</f>
        <v>0</v>
      </c>
      <c r="C434" s="9" t="str">
        <f ca="1">+WORLDCUP!BD60</f>
        <v>Haití</v>
      </c>
      <c r="D434" s="9" t="str">
        <f ca="1">+WORLDCUP!BD67</f>
        <v>Austria</v>
      </c>
      <c r="E434" s="9" t="str">
        <f ca="1">+WORLDCUP!BD59</f>
        <v>Catar</v>
      </c>
      <c r="F434" s="9" t="str">
        <f ca="1">+WORLDCUP!BD61</f>
        <v>Australia</v>
      </c>
      <c r="G434" s="9" t="str">
        <f ca="1">+WORLDCUP!BD58</f>
        <v>Corea del Sur</v>
      </c>
      <c r="H434" s="9" t="str">
        <f ca="1">+WORLDCUP!BD64</f>
        <v>Irán</v>
      </c>
      <c r="I434" s="9" t="str">
        <f ca="1">+WORLDCUP!BD69</f>
        <v>Ghana</v>
      </c>
      <c r="J434" s="9" t="str">
        <f ca="1">+WORLDCUP!BD66</f>
        <v>Irak</v>
      </c>
      <c r="N434" s="16" t="s">
        <v>825</v>
      </c>
      <c r="O434" s="16">
        <v>433</v>
      </c>
      <c r="P434" s="16" t="s">
        <v>92</v>
      </c>
      <c r="Q434" s="16" t="s">
        <v>451</v>
      </c>
      <c r="R434" s="16" t="s">
        <v>91</v>
      </c>
      <c r="S434" s="16" t="s">
        <v>93</v>
      </c>
      <c r="T434" s="16" t="s">
        <v>90</v>
      </c>
      <c r="U434" s="16" t="s">
        <v>445</v>
      </c>
      <c r="V434" s="16" t="s">
        <v>453</v>
      </c>
      <c r="W434" s="16" t="s">
        <v>450</v>
      </c>
    </row>
    <row r="435" spans="1:23" x14ac:dyDescent="0.2">
      <c r="A435" s="9" t="s">
        <v>824</v>
      </c>
      <c r="B435" s="9">
        <f ca="1">+IF(A435=WORLDCUP!$BI$112,1,0)</f>
        <v>0</v>
      </c>
      <c r="C435" s="9" t="str">
        <f ca="1">+WORLDCUP!BD60</f>
        <v>Haití</v>
      </c>
      <c r="D435" s="9" t="str">
        <f ca="1">+WORLDCUP!BD67</f>
        <v>Austria</v>
      </c>
      <c r="E435" s="9" t="str">
        <f ca="1">+WORLDCUP!BD59</f>
        <v>Catar</v>
      </c>
      <c r="F435" s="9" t="str">
        <f ca="1">+WORLDCUP!BD61</f>
        <v>Australia</v>
      </c>
      <c r="G435" s="9" t="str">
        <f ca="1">+WORLDCUP!BD58</f>
        <v>Corea del Sur</v>
      </c>
      <c r="H435" s="9" t="str">
        <f ca="1">+WORLDCUP!BD64</f>
        <v>Irán</v>
      </c>
      <c r="I435" s="9" t="str">
        <f ca="1">+WORLDCUP!BD66</f>
        <v>Irak</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x14ac:dyDescent="0.2">
      <c r="A436" s="9" t="s">
        <v>823</v>
      </c>
      <c r="B436" s="9">
        <f ca="1">+IF(A436=WORLDCUP!$BI$112,1,0)</f>
        <v>0</v>
      </c>
      <c r="C436" s="9" t="str">
        <f ca="1">+WORLDCUP!BD65</f>
        <v>Arabia Saudita</v>
      </c>
      <c r="D436" s="9" t="str">
        <f ca="1">+WORLDCUP!BD64</f>
        <v>Irán</v>
      </c>
      <c r="E436" s="9" t="str">
        <f ca="1">+WORLDCUP!BD59</f>
        <v>Catar</v>
      </c>
      <c r="F436" s="9" t="str">
        <f ca="1">+WORLDCUP!BD60</f>
        <v>Haití</v>
      </c>
      <c r="G436" s="9" t="str">
        <f ca="1">+WORLDCUP!BD58</f>
        <v>Corea del Sur</v>
      </c>
      <c r="H436" s="9" t="str">
        <f ca="1">+WORLDCUP!BD61</f>
        <v>Australia</v>
      </c>
      <c r="I436" s="9" t="str">
        <f ca="1">+WORLDCUP!BD69</f>
        <v>Ghana</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x14ac:dyDescent="0.2">
      <c r="A437" s="9" t="s">
        <v>822</v>
      </c>
      <c r="B437" s="9">
        <f ca="1">+IF(A437=WORLDCUP!$BI$112,1,0)</f>
        <v>0</v>
      </c>
      <c r="C437" s="9" t="str">
        <f ca="1">+WORLDCUP!BD65</f>
        <v>Arabia Saudita</v>
      </c>
      <c r="D437" s="9" t="str">
        <f ca="1">+WORLDCUP!BD64</f>
        <v>Irán</v>
      </c>
      <c r="E437" s="9" t="str">
        <f ca="1">+WORLDCUP!BD59</f>
        <v>Catar</v>
      </c>
      <c r="F437" s="9" t="str">
        <f ca="1">+WORLDCUP!BD60</f>
        <v>Haití</v>
      </c>
      <c r="G437" s="9" t="str">
        <f ca="1">+WORLDCUP!BD58</f>
        <v>Corea del Sur</v>
      </c>
      <c r="H437" s="9" t="str">
        <f ca="1">+WORLDCUP!BD61</f>
        <v>Australia</v>
      </c>
      <c r="I437" s="9" t="str">
        <f ca="1">+WORLDCUP!BD69</f>
        <v>Ghana</v>
      </c>
      <c r="J437" s="9" t="str">
        <f ca="1">+WORLDCUP!BD67</f>
        <v>Austria</v>
      </c>
      <c r="N437" s="16" t="s">
        <v>822</v>
      </c>
      <c r="O437" s="16">
        <v>436</v>
      </c>
      <c r="P437" s="16" t="s">
        <v>446</v>
      </c>
      <c r="Q437" s="16" t="s">
        <v>445</v>
      </c>
      <c r="R437" s="16" t="s">
        <v>91</v>
      </c>
      <c r="S437" s="16" t="s">
        <v>92</v>
      </c>
      <c r="T437" s="16" t="s">
        <v>90</v>
      </c>
      <c r="U437" s="16" t="s">
        <v>93</v>
      </c>
      <c r="V437" s="16" t="s">
        <v>453</v>
      </c>
      <c r="W437" s="16" t="s">
        <v>451</v>
      </c>
    </row>
    <row r="438" spans="1:23" x14ac:dyDescent="0.2">
      <c r="A438" s="9" t="s">
        <v>821</v>
      </c>
      <c r="B438" s="9">
        <f ca="1">+IF(A438=WORLDCUP!$BI$112,1,0)</f>
        <v>0</v>
      </c>
      <c r="C438" s="9" t="str">
        <f ca="1">+WORLDCUP!BD65</f>
        <v>Arabia Saudita</v>
      </c>
      <c r="D438" s="9" t="str">
        <f ca="1">+WORLDCUP!BD64</f>
        <v>Irán</v>
      </c>
      <c r="E438" s="9" t="str">
        <f ca="1">+WORLDCUP!BD59</f>
        <v>Catar</v>
      </c>
      <c r="F438" s="9" t="str">
        <f ca="1">+WORLDCUP!BD60</f>
        <v>Haití</v>
      </c>
      <c r="G438" s="9" t="str">
        <f ca="1">+WORLDCUP!BD58</f>
        <v>Corea del Sur</v>
      </c>
      <c r="H438" s="9" t="str">
        <f ca="1">+WORLDCUP!BD61</f>
        <v>Australia</v>
      </c>
      <c r="I438" s="9" t="str">
        <f ca="1">+WORLDCUP!BD67</f>
        <v>Austria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x14ac:dyDescent="0.2">
      <c r="A439" s="9" t="s">
        <v>820</v>
      </c>
      <c r="B439" s="9">
        <f ca="1">+IF(A439=WORLDCUP!$BI$112,1,0)</f>
        <v>0</v>
      </c>
      <c r="C439" s="9" t="str">
        <f ca="1">+WORLDCUP!BD65</f>
        <v>Arabia Saudita</v>
      </c>
      <c r="D439" s="9" t="str">
        <f ca="1">+WORLDCUP!BD64</f>
        <v>Irán</v>
      </c>
      <c r="E439" s="9" t="str">
        <f ca="1">+WORLDCUP!BD59</f>
        <v>Catar</v>
      </c>
      <c r="F439" s="9" t="str">
        <f ca="1">+WORLDCUP!BD60</f>
        <v>Haití</v>
      </c>
      <c r="G439" s="9" t="str">
        <f ca="1">+WORLDCUP!BD58</f>
        <v>Corea del Sur</v>
      </c>
      <c r="H439" s="9" t="str">
        <f ca="1">+WORLDCUP!BD61</f>
        <v>Australia</v>
      </c>
      <c r="I439" s="9" t="str">
        <f ca="1">+WORLDCUP!BD69</f>
        <v>Ghana</v>
      </c>
      <c r="J439" s="9" t="str">
        <f ca="1">+WORLDCUP!BD66</f>
        <v>Irak</v>
      </c>
      <c r="N439" s="16" t="s">
        <v>820</v>
      </c>
      <c r="O439" s="16">
        <v>438</v>
      </c>
      <c r="P439" s="16" t="s">
        <v>446</v>
      </c>
      <c r="Q439" s="16" t="s">
        <v>445</v>
      </c>
      <c r="R439" s="16" t="s">
        <v>91</v>
      </c>
      <c r="S439" s="16" t="s">
        <v>92</v>
      </c>
      <c r="T439" s="16" t="s">
        <v>90</v>
      </c>
      <c r="U439" s="16" t="s">
        <v>93</v>
      </c>
      <c r="V439" s="16" t="s">
        <v>453</v>
      </c>
      <c r="W439" s="16" t="s">
        <v>450</v>
      </c>
    </row>
    <row r="440" spans="1:23" x14ac:dyDescent="0.2">
      <c r="A440" s="9" t="s">
        <v>819</v>
      </c>
      <c r="B440" s="9">
        <f ca="1">+IF(A440=WORLDCUP!$BI$112,1,0)</f>
        <v>0</v>
      </c>
      <c r="C440" s="9" t="str">
        <f ca="1">+WORLDCUP!BD65</f>
        <v>Arabia Saudita</v>
      </c>
      <c r="D440" s="9" t="str">
        <f ca="1">+WORLDCUP!BD64</f>
        <v>Irán</v>
      </c>
      <c r="E440" s="9" t="str">
        <f ca="1">+WORLDCUP!BD59</f>
        <v>Catar</v>
      </c>
      <c r="F440" s="9" t="str">
        <f ca="1">+WORLDCUP!BD60</f>
        <v>Haití</v>
      </c>
      <c r="G440" s="9" t="str">
        <f ca="1">+WORLDCUP!BD58</f>
        <v>Corea del Sur</v>
      </c>
      <c r="H440" s="9" t="str">
        <f ca="1">+WORLDCUP!BD61</f>
        <v>Australia</v>
      </c>
      <c r="I440" s="9" t="str">
        <f ca="1">+WORLDCUP!BD66</f>
        <v>Irak</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x14ac:dyDescent="0.2">
      <c r="A441" s="9" t="s">
        <v>818</v>
      </c>
      <c r="B441" s="9">
        <f ca="1">+IF(A441=WORLDCUP!$BI$112,1,0)</f>
        <v>0</v>
      </c>
      <c r="C441" s="9" t="str">
        <f ca="1">+WORLDCUP!BD65</f>
        <v>Arabia Saudita</v>
      </c>
      <c r="D441" s="9" t="str">
        <f ca="1">+WORLDCUP!BD64</f>
        <v>Irán</v>
      </c>
      <c r="E441" s="9" t="str">
        <f ca="1">+WORLDCUP!BD59</f>
        <v>Catar</v>
      </c>
      <c r="F441" s="9" t="str">
        <f ca="1">+WORLDCUP!BD60</f>
        <v>Haití</v>
      </c>
      <c r="G441" s="9" t="str">
        <f ca="1">+WORLDCUP!BD58</f>
        <v>Corea del Sur</v>
      </c>
      <c r="H441" s="9" t="str">
        <f ca="1">+WORLDCUP!BD61</f>
        <v>Australia</v>
      </c>
      <c r="I441" s="9" t="str">
        <f ca="1">+WORLDCUP!BD66</f>
        <v>Irak</v>
      </c>
      <c r="J441" s="9" t="str">
        <f ca="1">+WORLDCUP!BD67</f>
        <v>Austria</v>
      </c>
      <c r="N441" s="16" t="s">
        <v>818</v>
      </c>
      <c r="O441" s="16">
        <v>440</v>
      </c>
      <c r="P441" s="16" t="s">
        <v>446</v>
      </c>
      <c r="Q441" s="16" t="s">
        <v>445</v>
      </c>
      <c r="R441" s="16" t="s">
        <v>91</v>
      </c>
      <c r="S441" s="16" t="s">
        <v>92</v>
      </c>
      <c r="T441" s="16" t="s">
        <v>90</v>
      </c>
      <c r="U441" s="16" t="s">
        <v>93</v>
      </c>
      <c r="V441" s="16" t="s">
        <v>450</v>
      </c>
      <c r="W441" s="16" t="s">
        <v>451</v>
      </c>
    </row>
    <row r="442" spans="1:23" x14ac:dyDescent="0.2">
      <c r="A442" s="9" t="s">
        <v>817</v>
      </c>
      <c r="B442" s="9">
        <f ca="1">+IF(A442=WORLDCUP!$BI$112,1,0)</f>
        <v>0</v>
      </c>
      <c r="C442" s="9" t="str">
        <f ca="1">+WORLDCUP!BD60</f>
        <v>Haití</v>
      </c>
      <c r="D442" s="9" t="str">
        <f ca="1">+WORLDCUP!BD67</f>
        <v>Austria</v>
      </c>
      <c r="E442" s="9" t="str">
        <f ca="1">+WORLDCUP!BD59</f>
        <v>Catar</v>
      </c>
      <c r="F442" s="9" t="str">
        <f ca="1">+WORLDCUP!BD61</f>
        <v>Australia</v>
      </c>
      <c r="G442" s="9" t="str">
        <f ca="1">+WORLDCUP!BD58</f>
        <v>Corea del Sur</v>
      </c>
      <c r="H442" s="9" t="str">
        <f ca="1">+WORLDCUP!BD63</f>
        <v>Suecia</v>
      </c>
      <c r="I442" s="9" t="str">
        <f ca="1">+WORLDCUP!BD69</f>
        <v>Ghana</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x14ac:dyDescent="0.2">
      <c r="A443" s="9" t="s">
        <v>816</v>
      </c>
      <c r="B443" s="9">
        <f ca="1">+IF(A443=WORLDCUP!$BI$112,1,0)</f>
        <v>0</v>
      </c>
      <c r="C443" s="9" t="str">
        <f ca="1">+WORLDCUP!BD60</f>
        <v>Haití</v>
      </c>
      <c r="D443" s="9" t="str">
        <f ca="1">+WORLDCUP!BD66</f>
        <v>Irak</v>
      </c>
      <c r="E443" s="9" t="str">
        <f ca="1">+WORLDCUP!BD59</f>
        <v>Catar</v>
      </c>
      <c r="F443" s="9" t="str">
        <f ca="1">+WORLDCUP!BD61</f>
        <v>Australia</v>
      </c>
      <c r="G443" s="9" t="str">
        <f ca="1">+WORLDCUP!BD58</f>
        <v>Corea del Sur</v>
      </c>
      <c r="H443" s="9" t="str">
        <f ca="1">+WORLDCUP!BD63</f>
        <v>Suecia</v>
      </c>
      <c r="I443" s="9" t="str">
        <f ca="1">+WORLDCUP!BD69</f>
        <v>Ghana</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x14ac:dyDescent="0.2">
      <c r="A444" s="9" t="s">
        <v>815</v>
      </c>
      <c r="B444" s="9">
        <f ca="1">+IF(A444=WORLDCUP!$BI$112,1,0)</f>
        <v>0</v>
      </c>
      <c r="C444" s="9" t="str">
        <f ca="1">+WORLDCUP!BD60</f>
        <v>Haití</v>
      </c>
      <c r="D444" s="9" t="str">
        <f ca="1">+WORLDCUP!BD67</f>
        <v>Austria</v>
      </c>
      <c r="E444" s="9" t="str">
        <f ca="1">+WORLDCUP!BD59</f>
        <v>Catar</v>
      </c>
      <c r="F444" s="9" t="str">
        <f ca="1">+WORLDCUP!BD61</f>
        <v>Australia</v>
      </c>
      <c r="G444" s="9" t="str">
        <f ca="1">+WORLDCUP!BD58</f>
        <v>Corea del Sur</v>
      </c>
      <c r="H444" s="9" t="str">
        <f ca="1">+WORLDCUP!BD63</f>
        <v>Suecia</v>
      </c>
      <c r="I444" s="9" t="str">
        <f ca="1">+WORLDCUP!BD69</f>
        <v>Ghana</v>
      </c>
      <c r="J444" s="9" t="str">
        <f ca="1">+WORLDCUP!BD66</f>
        <v>Irak</v>
      </c>
      <c r="N444" s="16" t="s">
        <v>815</v>
      </c>
      <c r="O444" s="16">
        <v>443</v>
      </c>
      <c r="P444" s="16" t="s">
        <v>92</v>
      </c>
      <c r="Q444" s="16" t="s">
        <v>451</v>
      </c>
      <c r="R444" s="16" t="s">
        <v>91</v>
      </c>
      <c r="S444" s="16" t="s">
        <v>93</v>
      </c>
      <c r="T444" s="16" t="s">
        <v>90</v>
      </c>
      <c r="U444" s="16" t="s">
        <v>95</v>
      </c>
      <c r="V444" s="16" t="s">
        <v>453</v>
      </c>
      <c r="W444" s="16" t="s">
        <v>450</v>
      </c>
    </row>
    <row r="445" spans="1:23" x14ac:dyDescent="0.2">
      <c r="A445" s="9" t="s">
        <v>814</v>
      </c>
      <c r="B445" s="9">
        <f ca="1">+IF(A445=WORLDCUP!$BI$112,1,0)</f>
        <v>0</v>
      </c>
      <c r="C445" s="9" t="str">
        <f ca="1">+WORLDCUP!BD60</f>
        <v>Haití</v>
      </c>
      <c r="D445" s="9" t="str">
        <f ca="1">+WORLDCUP!BD67</f>
        <v>Austria</v>
      </c>
      <c r="E445" s="9" t="str">
        <f ca="1">+WORLDCUP!BD59</f>
        <v>Catar</v>
      </c>
      <c r="F445" s="9" t="str">
        <f ca="1">+WORLDCUP!BD61</f>
        <v>Australia</v>
      </c>
      <c r="G445" s="9" t="str">
        <f ca="1">+WORLDCUP!BD58</f>
        <v>Corea del Sur</v>
      </c>
      <c r="H445" s="9" t="str">
        <f ca="1">+WORLDCUP!BD63</f>
        <v>Suecia</v>
      </c>
      <c r="I445" s="9" t="str">
        <f ca="1">+WORLDCUP!BD66</f>
        <v>Irak</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x14ac:dyDescent="0.2">
      <c r="A446" s="9" t="s">
        <v>813</v>
      </c>
      <c r="B446" s="9">
        <f ca="1">+IF(A446=WORLDCUP!$BI$112,1,0)</f>
        <v>0</v>
      </c>
      <c r="C446" s="9" t="str">
        <f ca="1">+WORLDCUP!BD65</f>
        <v>Arabia Saudita</v>
      </c>
      <c r="D446" s="9" t="str">
        <f ca="1">+WORLDCUP!BD63</f>
        <v>Suecia</v>
      </c>
      <c r="E446" s="9" t="str">
        <f ca="1">+WORLDCUP!BD59</f>
        <v>Catar</v>
      </c>
      <c r="F446" s="9" t="str">
        <f ca="1">+WORLDCUP!BD60</f>
        <v>Haití</v>
      </c>
      <c r="G446" s="9" t="str">
        <f ca="1">+WORLDCUP!BD58</f>
        <v>Corea del Sur</v>
      </c>
      <c r="H446" s="9" t="str">
        <f ca="1">+WORLDCUP!BD61</f>
        <v>Australia</v>
      </c>
      <c r="I446" s="9" t="str">
        <f ca="1">+WORLDCUP!BD69</f>
        <v>Ghana</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x14ac:dyDescent="0.2">
      <c r="A447" s="9" t="s">
        <v>812</v>
      </c>
      <c r="B447" s="9">
        <f ca="1">+IF(A447=WORLDCUP!$BI$112,1,0)</f>
        <v>0</v>
      </c>
      <c r="C447" s="9" t="str">
        <f ca="1">+WORLDCUP!BD60</f>
        <v>Haití</v>
      </c>
      <c r="D447" s="9" t="str">
        <f ca="1">+WORLDCUP!BD67</f>
        <v>Austria</v>
      </c>
      <c r="E447" s="9" t="str">
        <f ca="1">+WORLDCUP!BD59</f>
        <v>Catar</v>
      </c>
      <c r="F447" s="9" t="str">
        <f ca="1">+WORLDCUP!BD61</f>
        <v>Australia</v>
      </c>
      <c r="G447" s="9" t="str">
        <f ca="1">+WORLDCUP!BD58</f>
        <v>Corea del Sur</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x14ac:dyDescent="0.2">
      <c r="A448" s="9" t="s">
        <v>811</v>
      </c>
      <c r="B448" s="9">
        <f ca="1">+IF(A448=WORLDCUP!$BI$112,1,0)</f>
        <v>0</v>
      </c>
      <c r="C448" s="9" t="str">
        <f ca="1">+WORLDCUP!BD65</f>
        <v>Arabia Saudita</v>
      </c>
      <c r="D448" s="9" t="str">
        <f ca="1">+WORLDCUP!BD67</f>
        <v>Austria</v>
      </c>
      <c r="E448" s="9" t="str">
        <f ca="1">+WORLDCUP!BD59</f>
        <v>Catar</v>
      </c>
      <c r="F448" s="9" t="str">
        <f ca="1">+WORLDCUP!BD60</f>
        <v>Haití</v>
      </c>
      <c r="G448" s="9" t="str">
        <f ca="1">+WORLDCUP!BD58</f>
        <v>Corea del Sur</v>
      </c>
      <c r="H448" s="9" t="str">
        <f ca="1">+WORLDCUP!BD63</f>
        <v>Suecia</v>
      </c>
      <c r="I448" s="9" t="str">
        <f ca="1">+WORLDCUP!BD61</f>
        <v>Australia</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x14ac:dyDescent="0.2">
      <c r="A449" s="9" t="s">
        <v>810</v>
      </c>
      <c r="B449" s="9">
        <f ca="1">+IF(A449=WORLDCUP!$BI$112,1,0)</f>
        <v>0</v>
      </c>
      <c r="C449" s="9" t="str">
        <f ca="1">+WORLDCUP!BD65</f>
        <v>Arabia Saudita</v>
      </c>
      <c r="D449" s="9" t="str">
        <f ca="1">+WORLDCUP!BD63</f>
        <v>Suecia</v>
      </c>
      <c r="E449" s="9" t="str">
        <f ca="1">+WORLDCUP!BD59</f>
        <v>Catar</v>
      </c>
      <c r="F449" s="9" t="str">
        <f ca="1">+WORLDCUP!BD60</f>
        <v>Haití</v>
      </c>
      <c r="G449" s="9" t="str">
        <f ca="1">+WORLDCUP!BD58</f>
        <v>Corea del Sur</v>
      </c>
      <c r="H449" s="9" t="str">
        <f ca="1">+WORLDCUP!BD61</f>
        <v>Australia</v>
      </c>
      <c r="I449" s="9" t="str">
        <f ca="1">+WORLDCUP!BD69</f>
        <v>Ghana</v>
      </c>
      <c r="J449" s="9" t="str">
        <f ca="1">+WORLDCUP!BD66</f>
        <v>Irak</v>
      </c>
      <c r="N449" s="16" t="s">
        <v>810</v>
      </c>
      <c r="O449" s="16">
        <v>448</v>
      </c>
      <c r="P449" s="16" t="s">
        <v>446</v>
      </c>
      <c r="Q449" s="16" t="s">
        <v>95</v>
      </c>
      <c r="R449" s="16" t="s">
        <v>91</v>
      </c>
      <c r="S449" s="16" t="s">
        <v>92</v>
      </c>
      <c r="T449" s="16" t="s">
        <v>90</v>
      </c>
      <c r="U449" s="16" t="s">
        <v>93</v>
      </c>
      <c r="V449" s="16" t="s">
        <v>453</v>
      </c>
      <c r="W449" s="16" t="s">
        <v>450</v>
      </c>
    </row>
    <row r="450" spans="1:23" x14ac:dyDescent="0.2">
      <c r="A450" s="9" t="s">
        <v>809</v>
      </c>
      <c r="B450" s="9">
        <f ca="1">+IF(A450=WORLDCUP!$BI$112,1,0)</f>
        <v>0</v>
      </c>
      <c r="C450" s="9" t="str">
        <f ca="1">+WORLDCUP!BD65</f>
        <v>Arabia Saudita</v>
      </c>
      <c r="D450" s="9" t="str">
        <f ca="1">+WORLDCUP!BD63</f>
        <v>Suecia</v>
      </c>
      <c r="E450" s="9" t="str">
        <f ca="1">+WORLDCUP!BD59</f>
        <v>Catar</v>
      </c>
      <c r="F450" s="9" t="str">
        <f ca="1">+WORLDCUP!BD60</f>
        <v>Haití</v>
      </c>
      <c r="G450" s="9" t="str">
        <f ca="1">+WORLDCUP!BD58</f>
        <v>Corea del Sur</v>
      </c>
      <c r="H450" s="9" t="str">
        <f ca="1">+WORLDCUP!BD61</f>
        <v>Australia</v>
      </c>
      <c r="I450" s="9" t="str">
        <f ca="1">+WORLDCUP!BD66</f>
        <v>Irak</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x14ac:dyDescent="0.2">
      <c r="A451" s="9" t="s">
        <v>808</v>
      </c>
      <c r="B451" s="9">
        <f ca="1">+IF(A451=WORLDCUP!$BI$112,1,0)</f>
        <v>0</v>
      </c>
      <c r="C451" s="9" t="str">
        <f ca="1">+WORLDCUP!BD65</f>
        <v>Arabia Saudita</v>
      </c>
      <c r="D451" s="9" t="str">
        <f ca="1">+WORLDCUP!BD67</f>
        <v>Austria</v>
      </c>
      <c r="E451" s="9" t="str">
        <f ca="1">+WORLDCUP!BD59</f>
        <v>Catar</v>
      </c>
      <c r="F451" s="9" t="str">
        <f ca="1">+WORLDCUP!BD60</f>
        <v>Haití</v>
      </c>
      <c r="G451" s="9" t="str">
        <f ca="1">+WORLDCUP!BD58</f>
        <v>Corea del Sur</v>
      </c>
      <c r="H451" s="9" t="str">
        <f ca="1">+WORLDCUP!BD63</f>
        <v>Suecia</v>
      </c>
      <c r="I451" s="9" t="str">
        <f ca="1">+WORLDCUP!BD61</f>
        <v>Australia</v>
      </c>
      <c r="J451" s="9" t="str">
        <f ca="1">+WORLDCUP!BD66</f>
        <v>Irak</v>
      </c>
      <c r="N451" s="16" t="s">
        <v>808</v>
      </c>
      <c r="O451" s="16">
        <v>450</v>
      </c>
      <c r="P451" s="16" t="s">
        <v>446</v>
      </c>
      <c r="Q451" s="16" t="s">
        <v>451</v>
      </c>
      <c r="R451" s="16" t="s">
        <v>91</v>
      </c>
      <c r="S451" s="16" t="s">
        <v>92</v>
      </c>
      <c r="T451" s="16" t="s">
        <v>90</v>
      </c>
      <c r="U451" s="16" t="s">
        <v>95</v>
      </c>
      <c r="V451" s="16" t="s">
        <v>93</v>
      </c>
      <c r="W451" s="16" t="s">
        <v>450</v>
      </c>
    </row>
    <row r="452" spans="1:23" x14ac:dyDescent="0.2">
      <c r="A452" s="9" t="s">
        <v>807</v>
      </c>
      <c r="B452" s="9">
        <f ca="1">+IF(A452=WORLDCUP!$BI$112,1,0)</f>
        <v>0</v>
      </c>
      <c r="C452" s="9" t="str">
        <f ca="1">+WORLDCUP!BD60</f>
        <v>Haití</v>
      </c>
      <c r="D452" s="9" t="str">
        <f ca="1">+WORLDCUP!BD64</f>
        <v>Irán</v>
      </c>
      <c r="E452" s="9" t="str">
        <f ca="1">+WORLDCUP!BD59</f>
        <v>Catar</v>
      </c>
      <c r="F452" s="9" t="str">
        <f ca="1">+WORLDCUP!BD61</f>
        <v>Australia</v>
      </c>
      <c r="G452" s="9" t="str">
        <f ca="1">+WORLDCUP!BD58</f>
        <v>Corea del Sur</v>
      </c>
      <c r="H452" s="9" t="str">
        <f ca="1">+WORLDCUP!BD63</f>
        <v>Suecia</v>
      </c>
      <c r="I452" s="9" t="str">
        <f ca="1">+WORLDCUP!BD69</f>
        <v>Ghana</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x14ac:dyDescent="0.2">
      <c r="A453" s="9" t="s">
        <v>806</v>
      </c>
      <c r="B453" s="9">
        <f ca="1">+IF(A453=WORLDCUP!$BI$112,1,0)</f>
        <v>0</v>
      </c>
      <c r="C453" s="9" t="str">
        <f ca="1">+WORLDCUP!BD60</f>
        <v>Haití</v>
      </c>
      <c r="D453" s="9" t="str">
        <f ca="1">+WORLDCUP!BD64</f>
        <v>Irán</v>
      </c>
      <c r="E453" s="9" t="str">
        <f ca="1">+WORLDCUP!BD59</f>
        <v>Catar</v>
      </c>
      <c r="F453" s="9" t="str">
        <f ca="1">+WORLDCUP!BD61</f>
        <v>Australia</v>
      </c>
      <c r="G453" s="9" t="str">
        <f ca="1">+WORLDCUP!BD58</f>
        <v>Corea del Sur</v>
      </c>
      <c r="H453" s="9" t="str">
        <f ca="1">+WORLDCUP!BD63</f>
        <v>Suecia</v>
      </c>
      <c r="I453" s="9" t="str">
        <f ca="1">+WORLDCUP!BD69</f>
        <v>Ghana</v>
      </c>
      <c r="J453" s="9" t="str">
        <f ca="1">+WORLDCUP!BD67</f>
        <v>Austria</v>
      </c>
      <c r="N453" s="16" t="s">
        <v>806</v>
      </c>
      <c r="O453" s="16">
        <v>452</v>
      </c>
      <c r="P453" s="16" t="s">
        <v>92</v>
      </c>
      <c r="Q453" s="16" t="s">
        <v>445</v>
      </c>
      <c r="R453" s="16" t="s">
        <v>91</v>
      </c>
      <c r="S453" s="16" t="s">
        <v>93</v>
      </c>
      <c r="T453" s="16" t="s">
        <v>90</v>
      </c>
      <c r="U453" s="16" t="s">
        <v>95</v>
      </c>
      <c r="V453" s="16" t="s">
        <v>453</v>
      </c>
      <c r="W453" s="16" t="s">
        <v>451</v>
      </c>
    </row>
    <row r="454" spans="1:23" x14ac:dyDescent="0.2">
      <c r="A454" s="9" t="s">
        <v>805</v>
      </c>
      <c r="B454" s="9">
        <f ca="1">+IF(A454=WORLDCUP!$BI$112,1,0)</f>
        <v>0</v>
      </c>
      <c r="C454" s="9" t="str">
        <f ca="1">+WORLDCUP!BD60</f>
        <v>Haití</v>
      </c>
      <c r="D454" s="9" t="str">
        <f ca="1">+WORLDCUP!BD64</f>
        <v>Irán</v>
      </c>
      <c r="E454" s="9" t="str">
        <f ca="1">+WORLDCUP!BD59</f>
        <v>Catar</v>
      </c>
      <c r="F454" s="9" t="str">
        <f ca="1">+WORLDCUP!BD61</f>
        <v>Australia</v>
      </c>
      <c r="G454" s="9" t="str">
        <f ca="1">+WORLDCUP!BD58</f>
        <v>Corea del Sur</v>
      </c>
      <c r="H454" s="9" t="str">
        <f ca="1">+WORLDCUP!BD63</f>
        <v>Suecia</v>
      </c>
      <c r="I454" s="9" t="str">
        <f ca="1">+WORLDCUP!BD67</f>
        <v>Austria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x14ac:dyDescent="0.2">
      <c r="A455" s="9" t="s">
        <v>804</v>
      </c>
      <c r="B455" s="9">
        <f ca="1">+IF(A455=WORLDCUP!$BI$112,1,0)</f>
        <v>0</v>
      </c>
      <c r="C455" s="9" t="str">
        <f ca="1">+WORLDCUP!BD60</f>
        <v>Haití</v>
      </c>
      <c r="D455" s="9" t="str">
        <f ca="1">+WORLDCUP!BD64</f>
        <v>Irán</v>
      </c>
      <c r="E455" s="9" t="str">
        <f ca="1">+WORLDCUP!BD59</f>
        <v>Catar</v>
      </c>
      <c r="F455" s="9" t="str">
        <f ca="1">+WORLDCUP!BD61</f>
        <v>Australia</v>
      </c>
      <c r="G455" s="9" t="str">
        <f ca="1">+WORLDCUP!BD58</f>
        <v>Corea del Sur</v>
      </c>
      <c r="H455" s="9" t="str">
        <f ca="1">+WORLDCUP!BD63</f>
        <v>Suecia</v>
      </c>
      <c r="I455" s="9" t="str">
        <f ca="1">+WORLDCUP!BD69</f>
        <v>Ghana</v>
      </c>
      <c r="J455" s="9" t="str">
        <f ca="1">+WORLDCUP!BD66</f>
        <v>Irak</v>
      </c>
      <c r="N455" s="16" t="s">
        <v>804</v>
      </c>
      <c r="O455" s="16">
        <v>454</v>
      </c>
      <c r="P455" s="16" t="s">
        <v>92</v>
      </c>
      <c r="Q455" s="16" t="s">
        <v>445</v>
      </c>
      <c r="R455" s="16" t="s">
        <v>91</v>
      </c>
      <c r="S455" s="16" t="s">
        <v>93</v>
      </c>
      <c r="T455" s="16" t="s">
        <v>90</v>
      </c>
      <c r="U455" s="16" t="s">
        <v>95</v>
      </c>
      <c r="V455" s="16" t="s">
        <v>453</v>
      </c>
      <c r="W455" s="16" t="s">
        <v>450</v>
      </c>
    </row>
    <row r="456" spans="1:23" x14ac:dyDescent="0.2">
      <c r="A456" s="9" t="s">
        <v>803</v>
      </c>
      <c r="B456" s="9">
        <f ca="1">+IF(A456=WORLDCUP!$BI$112,1,0)</f>
        <v>0</v>
      </c>
      <c r="C456" s="9" t="str">
        <f ca="1">+WORLDCUP!BD60</f>
        <v>Haití</v>
      </c>
      <c r="D456" s="9" t="str">
        <f ca="1">+WORLDCUP!BD64</f>
        <v>Irán</v>
      </c>
      <c r="E456" s="9" t="str">
        <f ca="1">+WORLDCUP!BD59</f>
        <v>Catar</v>
      </c>
      <c r="F456" s="9" t="str">
        <f ca="1">+WORLDCUP!BD61</f>
        <v>Australia</v>
      </c>
      <c r="G456" s="9" t="str">
        <f ca="1">+WORLDCUP!BD58</f>
        <v>Corea del Sur</v>
      </c>
      <c r="H456" s="9" t="str">
        <f ca="1">+WORLDCUP!BD63</f>
        <v>Suecia</v>
      </c>
      <c r="I456" s="9" t="str">
        <f ca="1">+WORLDCUP!BD66</f>
        <v>Irak</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x14ac:dyDescent="0.2">
      <c r="A457" s="9" t="s">
        <v>802</v>
      </c>
      <c r="B457" s="9">
        <f ca="1">+IF(A457=WORLDCUP!$BI$112,1,0)</f>
        <v>0</v>
      </c>
      <c r="C457" s="9" t="str">
        <f ca="1">+WORLDCUP!BD60</f>
        <v>Haití</v>
      </c>
      <c r="D457" s="9" t="str">
        <f ca="1">+WORLDCUP!BD64</f>
        <v>Irán</v>
      </c>
      <c r="E457" s="9" t="str">
        <f ca="1">+WORLDCUP!BD59</f>
        <v>Catar</v>
      </c>
      <c r="F457" s="9" t="str">
        <f ca="1">+WORLDCUP!BD61</f>
        <v>Australia</v>
      </c>
      <c r="G457" s="9" t="str">
        <f ca="1">+WORLDCUP!BD58</f>
        <v>Corea del Sur</v>
      </c>
      <c r="H457" s="9" t="str">
        <f ca="1">+WORLDCUP!BD63</f>
        <v>Suecia</v>
      </c>
      <c r="I457" s="9" t="str">
        <f ca="1">+WORLDCUP!BD66</f>
        <v>Irak</v>
      </c>
      <c r="J457" s="9" t="str">
        <f ca="1">+WORLDCUP!BD67</f>
        <v>Austria</v>
      </c>
      <c r="N457" s="16" t="s">
        <v>802</v>
      </c>
      <c r="O457" s="16">
        <v>456</v>
      </c>
      <c r="P457" s="16" t="s">
        <v>92</v>
      </c>
      <c r="Q457" s="16" t="s">
        <v>445</v>
      </c>
      <c r="R457" s="16" t="s">
        <v>91</v>
      </c>
      <c r="S457" s="16" t="s">
        <v>93</v>
      </c>
      <c r="T457" s="16" t="s">
        <v>90</v>
      </c>
      <c r="U457" s="16" t="s">
        <v>95</v>
      </c>
      <c r="V457" s="16" t="s">
        <v>450</v>
      </c>
      <c r="W457" s="16" t="s">
        <v>451</v>
      </c>
    </row>
    <row r="458" spans="1:23" x14ac:dyDescent="0.2">
      <c r="A458" s="9" t="s">
        <v>801</v>
      </c>
      <c r="B458" s="9">
        <f ca="1">+IF(A458=WORLDCUP!$BI$112,1,0)</f>
        <v>0</v>
      </c>
      <c r="C458" s="9" t="str">
        <f ca="1">+WORLDCUP!BD60</f>
        <v>Haití</v>
      </c>
      <c r="D458" s="9" t="str">
        <f ca="1">+WORLDCUP!BD64</f>
        <v>Irán</v>
      </c>
      <c r="E458" s="9" t="str">
        <f ca="1">+WORLDCUP!BD59</f>
        <v>Catar</v>
      </c>
      <c r="F458" s="9" t="str">
        <f ca="1">+WORLDCUP!BD61</f>
        <v>Australia</v>
      </c>
      <c r="G458" s="9" t="str">
        <f ca="1">+WORLDCUP!BD58</f>
        <v>Corea del Sur</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x14ac:dyDescent="0.2">
      <c r="A459" s="9" t="s">
        <v>800</v>
      </c>
      <c r="B459" s="9">
        <f ca="1">+IF(A459=WORLDCUP!$BI$112,1,0)</f>
        <v>0</v>
      </c>
      <c r="C459" s="9" t="str">
        <f ca="1">+WORLDCUP!BD65</f>
        <v>Arabia Saudita</v>
      </c>
      <c r="D459" s="9" t="str">
        <f ca="1">+WORLDCUP!BD64</f>
        <v>Irán</v>
      </c>
      <c r="E459" s="9" t="str">
        <f ca="1">+WORLDCUP!BD59</f>
        <v>Catar</v>
      </c>
      <c r="F459" s="9" t="str">
        <f ca="1">+WORLDCUP!BD60</f>
        <v>Haití</v>
      </c>
      <c r="G459" s="9" t="str">
        <f ca="1">+WORLDCUP!BD58</f>
        <v>Corea del Sur</v>
      </c>
      <c r="H459" s="9" t="str">
        <f ca="1">+WORLDCUP!BD63</f>
        <v>Suecia</v>
      </c>
      <c r="I459" s="9" t="str">
        <f ca="1">+WORLDCUP!BD61</f>
        <v>Australia</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x14ac:dyDescent="0.2">
      <c r="A460" s="9" t="s">
        <v>799</v>
      </c>
      <c r="B460" s="9">
        <f ca="1">+IF(A460=WORLDCUP!$BI$112,1,0)</f>
        <v>0</v>
      </c>
      <c r="C460" s="9" t="str">
        <f ca="1">+WORLDCUP!BD65</f>
        <v>Arabia Saudita</v>
      </c>
      <c r="D460" s="9" t="str">
        <f ca="1">+WORLDCUP!BD64</f>
        <v>Irán</v>
      </c>
      <c r="E460" s="9" t="str">
        <f ca="1">+WORLDCUP!BD59</f>
        <v>Catar</v>
      </c>
      <c r="F460" s="9" t="str">
        <f ca="1">+WORLDCUP!BD60</f>
        <v>Haití</v>
      </c>
      <c r="G460" s="9" t="str">
        <f ca="1">+WORLDCUP!BD58</f>
        <v>Corea del Sur</v>
      </c>
      <c r="H460" s="9" t="str">
        <f ca="1">+WORLDCUP!BD63</f>
        <v>Suecia</v>
      </c>
      <c r="I460" s="9" t="str">
        <f ca="1">+WORLDCUP!BD61</f>
        <v>Australia</v>
      </c>
      <c r="J460" s="9" t="str">
        <f ca="1">+WORLDCUP!BD67</f>
        <v>Austria</v>
      </c>
      <c r="N460" s="16" t="s">
        <v>799</v>
      </c>
      <c r="O460" s="16">
        <v>459</v>
      </c>
      <c r="P460" s="16" t="s">
        <v>446</v>
      </c>
      <c r="Q460" s="16" t="s">
        <v>445</v>
      </c>
      <c r="R460" s="16" t="s">
        <v>91</v>
      </c>
      <c r="S460" s="16" t="s">
        <v>92</v>
      </c>
      <c r="T460" s="16" t="s">
        <v>90</v>
      </c>
      <c r="U460" s="16" t="s">
        <v>95</v>
      </c>
      <c r="V460" s="16" t="s">
        <v>93</v>
      </c>
      <c r="W460" s="16" t="s">
        <v>451</v>
      </c>
    </row>
    <row r="461" spans="1:23" x14ac:dyDescent="0.2">
      <c r="A461" s="9" t="s">
        <v>798</v>
      </c>
      <c r="B461" s="9">
        <f ca="1">+IF(A461=WORLDCUP!$BI$112,1,0)</f>
        <v>0</v>
      </c>
      <c r="C461" s="9" t="str">
        <f ca="1">+WORLDCUP!BD65</f>
        <v>Arabia Saudita</v>
      </c>
      <c r="D461" s="9" t="str">
        <f ca="1">+WORLDCUP!BD64</f>
        <v>Irán</v>
      </c>
      <c r="E461" s="9" t="str">
        <f ca="1">+WORLDCUP!BD59</f>
        <v>Catar</v>
      </c>
      <c r="F461" s="9" t="str">
        <f ca="1">+WORLDCUP!BD60</f>
        <v>Haití</v>
      </c>
      <c r="G461" s="9" t="str">
        <f ca="1">+WORLDCUP!BD58</f>
        <v>Corea del Sur</v>
      </c>
      <c r="H461" s="9" t="str">
        <f ca="1">+WORLDCUP!BD63</f>
        <v>Suecia</v>
      </c>
      <c r="I461" s="9" t="str">
        <f ca="1">+WORLDCUP!BD61</f>
        <v>Australia</v>
      </c>
      <c r="J461" s="9" t="str">
        <f ca="1">+WORLDCUP!BD66</f>
        <v>Irak</v>
      </c>
      <c r="N461" s="16" t="s">
        <v>798</v>
      </c>
      <c r="O461" s="16">
        <v>460</v>
      </c>
      <c r="P461" s="16" t="s">
        <v>446</v>
      </c>
      <c r="Q461" s="16" t="s">
        <v>445</v>
      </c>
      <c r="R461" s="16" t="s">
        <v>91</v>
      </c>
      <c r="S461" s="16" t="s">
        <v>92</v>
      </c>
      <c r="T461" s="16" t="s">
        <v>90</v>
      </c>
      <c r="U461" s="16" t="s">
        <v>95</v>
      </c>
      <c r="V461" s="16" t="s">
        <v>93</v>
      </c>
      <c r="W461" s="16" t="s">
        <v>450</v>
      </c>
    </row>
    <row r="462" spans="1:23" x14ac:dyDescent="0.2">
      <c r="A462" s="9" t="s">
        <v>797</v>
      </c>
      <c r="B462" s="9">
        <f ca="1">+IF(A462=WORLDCUP!$BI$112,1,0)</f>
        <v>0</v>
      </c>
      <c r="C462" s="9" t="str">
        <f ca="1">+WORLDCUP!BD62</f>
        <v>Costa de Marfil</v>
      </c>
      <c r="D462" s="9" t="str">
        <f ca="1">+WORLDCUP!BD67</f>
        <v>Austria</v>
      </c>
      <c r="E462" s="9" t="str">
        <f ca="1">+WORLDCUP!BD59</f>
        <v>Catar</v>
      </c>
      <c r="F462" s="9" t="str">
        <f ca="1">+WORLDCUP!BD60</f>
        <v>Haití</v>
      </c>
      <c r="G462" s="9" t="str">
        <f ca="1">+WORLDCUP!BD58</f>
        <v>Corea del Sur</v>
      </c>
      <c r="H462" s="9" t="str">
        <f ca="1">+WORLDCUP!BD61</f>
        <v>Australia</v>
      </c>
      <c r="I462" s="9" t="str">
        <f ca="1">+WORLDCUP!BD69</f>
        <v>Ghana</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x14ac:dyDescent="0.2">
      <c r="A463" s="9" t="s">
        <v>796</v>
      </c>
      <c r="B463" s="9">
        <f ca="1">+IF(A463=WORLDCUP!$BI$112,1,0)</f>
        <v>0</v>
      </c>
      <c r="C463" s="9" t="str">
        <f ca="1">+WORLDCUP!BD62</f>
        <v>Costa de Marfil</v>
      </c>
      <c r="D463" s="9" t="str">
        <f ca="1">+WORLDCUP!BD66</f>
        <v>Irak</v>
      </c>
      <c r="E463" s="9" t="str">
        <f ca="1">+WORLDCUP!BD59</f>
        <v>Catar</v>
      </c>
      <c r="F463" s="9" t="str">
        <f ca="1">+WORLDCUP!BD60</f>
        <v>Haití</v>
      </c>
      <c r="G463" s="9" t="str">
        <f ca="1">+WORLDCUP!BD58</f>
        <v>Corea del Sur</v>
      </c>
      <c r="H463" s="9" t="str">
        <f ca="1">+WORLDCUP!BD61</f>
        <v>Australia</v>
      </c>
      <c r="I463" s="9" t="str">
        <f ca="1">+WORLDCUP!BD69</f>
        <v>Ghana</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x14ac:dyDescent="0.2">
      <c r="A464" s="9" t="s">
        <v>795</v>
      </c>
      <c r="B464" s="9">
        <f ca="1">+IF(A464=WORLDCUP!$BI$112,1,0)</f>
        <v>0</v>
      </c>
      <c r="C464" s="9" t="str">
        <f ca="1">+WORLDCUP!BD62</f>
        <v>Costa de Marfil</v>
      </c>
      <c r="D464" s="9" t="str">
        <f ca="1">+WORLDCUP!BD67</f>
        <v>Austria</v>
      </c>
      <c r="E464" s="9" t="str">
        <f ca="1">+WORLDCUP!BD59</f>
        <v>Catar</v>
      </c>
      <c r="F464" s="9" t="str">
        <f ca="1">+WORLDCUP!BD60</f>
        <v>Haití</v>
      </c>
      <c r="G464" s="9" t="str">
        <f ca="1">+WORLDCUP!BD58</f>
        <v>Corea del Sur</v>
      </c>
      <c r="H464" s="9" t="str">
        <f ca="1">+WORLDCUP!BD61</f>
        <v>Australia</v>
      </c>
      <c r="I464" s="9" t="str">
        <f ca="1">+WORLDCUP!BD69</f>
        <v>Ghana</v>
      </c>
      <c r="J464" s="9" t="str">
        <f ca="1">+WORLDCUP!BD66</f>
        <v>Irak</v>
      </c>
      <c r="N464" s="16" t="s">
        <v>795</v>
      </c>
      <c r="O464" s="16">
        <v>463</v>
      </c>
      <c r="P464" s="16" t="s">
        <v>94</v>
      </c>
      <c r="Q464" s="16" t="s">
        <v>451</v>
      </c>
      <c r="R464" s="16" t="s">
        <v>91</v>
      </c>
      <c r="S464" s="16" t="s">
        <v>92</v>
      </c>
      <c r="T464" s="16" t="s">
        <v>90</v>
      </c>
      <c r="U464" s="16" t="s">
        <v>93</v>
      </c>
      <c r="V464" s="16" t="s">
        <v>453</v>
      </c>
      <c r="W464" s="16" t="s">
        <v>450</v>
      </c>
    </row>
    <row r="465" spans="1:23" x14ac:dyDescent="0.2">
      <c r="A465" s="9" t="s">
        <v>794</v>
      </c>
      <c r="B465" s="9">
        <f ca="1">+IF(A465=WORLDCUP!$BI$112,1,0)</f>
        <v>0</v>
      </c>
      <c r="C465" s="9" t="str">
        <f ca="1">+WORLDCUP!BD62</f>
        <v>Costa de Marfil</v>
      </c>
      <c r="D465" s="9" t="str">
        <f ca="1">+WORLDCUP!BD67</f>
        <v>Austria</v>
      </c>
      <c r="E465" s="9" t="str">
        <f ca="1">+WORLDCUP!BD59</f>
        <v>Catar</v>
      </c>
      <c r="F465" s="9" t="str">
        <f ca="1">+WORLDCUP!BD60</f>
        <v>Haití</v>
      </c>
      <c r="G465" s="9" t="str">
        <f ca="1">+WORLDCUP!BD58</f>
        <v>Corea del Sur</v>
      </c>
      <c r="H465" s="9" t="str">
        <f ca="1">+WORLDCUP!BD61</f>
        <v>Australia</v>
      </c>
      <c r="I465" s="9" t="str">
        <f ca="1">+WORLDCUP!BD66</f>
        <v>Irak</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x14ac:dyDescent="0.2">
      <c r="A466" s="9" t="s">
        <v>793</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Corea del Sur</v>
      </c>
      <c r="H466" s="9" t="str">
        <f ca="1">+WORLDCUP!BD61</f>
        <v>Australia</v>
      </c>
      <c r="I466" s="9" t="str">
        <f ca="1">+WORLDCUP!BD69</f>
        <v>Ghana</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x14ac:dyDescent="0.2">
      <c r="A467" s="9" t="s">
        <v>792</v>
      </c>
      <c r="B467" s="9">
        <f ca="1">+IF(A467=WORLDCUP!$BI$112,1,0)</f>
        <v>0</v>
      </c>
      <c r="C467" s="9" t="str">
        <f ca="1">+WORLDCUP!BD65</f>
        <v>Arabia Saudita</v>
      </c>
      <c r="D467" s="9" t="str">
        <f ca="1">+WORLDCUP!BD67</f>
        <v>Austria</v>
      </c>
      <c r="E467" s="9" t="str">
        <f ca="1">+WORLDCUP!BD59</f>
        <v>Catar</v>
      </c>
      <c r="F467" s="9" t="str">
        <f ca="1">+WORLDCUP!BD60</f>
        <v>Haití</v>
      </c>
      <c r="G467" s="9" t="str">
        <f ca="1">+WORLDCUP!BD58</f>
        <v>Corea del Sur</v>
      </c>
      <c r="H467" s="9" t="str">
        <f ca="1">+WORLDCUP!BD61</f>
        <v>Australia</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x14ac:dyDescent="0.2">
      <c r="A468" s="9" t="s">
        <v>791</v>
      </c>
      <c r="B468" s="9">
        <f ca="1">+IF(A468=WORLDCUP!$BI$112,1,0)</f>
        <v>0</v>
      </c>
      <c r="C468" s="9" t="str">
        <f ca="1">+WORLDCUP!BD65</f>
        <v>Arabia Saudita</v>
      </c>
      <c r="D468" s="9" t="str">
        <f ca="1">+WORLDCUP!BD67</f>
        <v>Austria</v>
      </c>
      <c r="E468" s="9" t="str">
        <f ca="1">+WORLDCUP!BD59</f>
        <v>Catar</v>
      </c>
      <c r="F468" s="9" t="str">
        <f ca="1">+WORLDCUP!BD60</f>
        <v>Haití</v>
      </c>
      <c r="G468" s="9" t="str">
        <f ca="1">+WORLDCUP!BD58</f>
        <v>Corea del Sur</v>
      </c>
      <c r="H468" s="9" t="str">
        <f ca="1">+WORLDCUP!BD61</f>
        <v>Australia</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x14ac:dyDescent="0.2">
      <c r="A469" s="9" t="s">
        <v>790</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Corea del Sur</v>
      </c>
      <c r="H469" s="9" t="str">
        <f ca="1">+WORLDCUP!BD61</f>
        <v>Australia</v>
      </c>
      <c r="I469" s="9" t="str">
        <f ca="1">+WORLDCUP!BD69</f>
        <v>Ghana</v>
      </c>
      <c r="J469" s="9" t="str">
        <f ca="1">+WORLDCUP!BD66</f>
        <v>Irak</v>
      </c>
      <c r="N469" s="16" t="s">
        <v>790</v>
      </c>
      <c r="O469" s="16">
        <v>468</v>
      </c>
      <c r="P469" s="16" t="s">
        <v>446</v>
      </c>
      <c r="Q469" s="16" t="s">
        <v>94</v>
      </c>
      <c r="R469" s="16" t="s">
        <v>91</v>
      </c>
      <c r="S469" s="16" t="s">
        <v>92</v>
      </c>
      <c r="T469" s="16" t="s">
        <v>90</v>
      </c>
      <c r="U469" s="16" t="s">
        <v>93</v>
      </c>
      <c r="V469" s="16" t="s">
        <v>453</v>
      </c>
      <c r="W469" s="16" t="s">
        <v>450</v>
      </c>
    </row>
    <row r="470" spans="1:23" x14ac:dyDescent="0.2">
      <c r="A470" s="9" t="s">
        <v>789</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Corea del Sur</v>
      </c>
      <c r="H470" s="9" t="str">
        <f ca="1">+WORLDCUP!BD61</f>
        <v>Australia</v>
      </c>
      <c r="I470" s="9" t="str">
        <f ca="1">+WORLDCUP!BD66</f>
        <v>Irak</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x14ac:dyDescent="0.2">
      <c r="A471" s="9" t="s">
        <v>788</v>
      </c>
      <c r="B471" s="9">
        <f ca="1">+IF(A471=WORLDCUP!$BI$112,1,0)</f>
        <v>0</v>
      </c>
      <c r="C471" s="9" t="str">
        <f ca="1">+WORLDCUP!BD65</f>
        <v>Arabia Saudita</v>
      </c>
      <c r="D471" s="9" t="str">
        <f ca="1">+WORLDCUP!BD67</f>
        <v>Austria</v>
      </c>
      <c r="E471" s="9" t="str">
        <f ca="1">+WORLDCUP!BD59</f>
        <v>Catar</v>
      </c>
      <c r="F471" s="9" t="str">
        <f ca="1">+WORLDCUP!BD60</f>
        <v>Haití</v>
      </c>
      <c r="G471" s="9" t="str">
        <f ca="1">+WORLDCUP!BD58</f>
        <v>Corea del Sur</v>
      </c>
      <c r="H471" s="9" t="str">
        <f ca="1">+WORLDCUP!BD61</f>
        <v>Australia</v>
      </c>
      <c r="I471" s="9" t="str">
        <f ca="1">+WORLDCUP!BD62</f>
        <v>Costa de Marfil</v>
      </c>
      <c r="J471" s="9" t="str">
        <f ca="1">+WORLDCUP!BD66</f>
        <v>Irak</v>
      </c>
      <c r="N471" s="16" t="s">
        <v>788</v>
      </c>
      <c r="O471" s="16">
        <v>470</v>
      </c>
      <c r="P471" s="16" t="s">
        <v>446</v>
      </c>
      <c r="Q471" s="16" t="s">
        <v>451</v>
      </c>
      <c r="R471" s="16" t="s">
        <v>91</v>
      </c>
      <c r="S471" s="16" t="s">
        <v>92</v>
      </c>
      <c r="T471" s="16" t="s">
        <v>90</v>
      </c>
      <c r="U471" s="16" t="s">
        <v>93</v>
      </c>
      <c r="V471" s="16" t="s">
        <v>94</v>
      </c>
      <c r="W471" s="16" t="s">
        <v>450</v>
      </c>
    </row>
    <row r="472" spans="1:23" x14ac:dyDescent="0.2">
      <c r="A472" s="9" t="s">
        <v>787</v>
      </c>
      <c r="B472" s="9">
        <f ca="1">+IF(A472=WORLDCUP!$BI$112,1,0)</f>
        <v>0</v>
      </c>
      <c r="C472" s="9" t="str">
        <f ca="1">+WORLDCUP!BD62</f>
        <v>Costa de Marfil</v>
      </c>
      <c r="D472" s="9" t="str">
        <f ca="1">+WORLDCUP!BD64</f>
        <v>Irán</v>
      </c>
      <c r="E472" s="9" t="str">
        <f ca="1">+WORLDCUP!BD59</f>
        <v>Catar</v>
      </c>
      <c r="F472" s="9" t="str">
        <f ca="1">+WORLDCUP!BD60</f>
        <v>Haití</v>
      </c>
      <c r="G472" s="9" t="str">
        <f ca="1">+WORLDCUP!BD58</f>
        <v>Corea del Sur</v>
      </c>
      <c r="H472" s="9" t="str">
        <f ca="1">+WORLDCUP!BD61</f>
        <v>Australia</v>
      </c>
      <c r="I472" s="9" t="str">
        <f ca="1">+WORLDCUP!BD69</f>
        <v>Ghana</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x14ac:dyDescent="0.2">
      <c r="A473" s="9" t="s">
        <v>786</v>
      </c>
      <c r="B473" s="9">
        <f ca="1">+IF(A473=WORLDCUP!$BI$112,1,0)</f>
        <v>0</v>
      </c>
      <c r="C473" s="9" t="str">
        <f ca="1">+WORLDCUP!BD62</f>
        <v>Costa de Marfil</v>
      </c>
      <c r="D473" s="9" t="str">
        <f ca="1">+WORLDCUP!BD64</f>
        <v>Irán</v>
      </c>
      <c r="E473" s="9" t="str">
        <f ca="1">+WORLDCUP!BD59</f>
        <v>Catar</v>
      </c>
      <c r="F473" s="9" t="str">
        <f ca="1">+WORLDCUP!BD60</f>
        <v>Haití</v>
      </c>
      <c r="G473" s="9" t="str">
        <f ca="1">+WORLDCUP!BD58</f>
        <v>Corea del Sur</v>
      </c>
      <c r="H473" s="9" t="str">
        <f ca="1">+WORLDCUP!BD61</f>
        <v>Australia</v>
      </c>
      <c r="I473" s="9" t="str">
        <f ca="1">+WORLDCUP!BD69</f>
        <v>Ghana</v>
      </c>
      <c r="J473" s="9" t="str">
        <f ca="1">+WORLDCUP!BD67</f>
        <v>Austria</v>
      </c>
      <c r="N473" s="16" t="s">
        <v>786</v>
      </c>
      <c r="O473" s="16">
        <v>472</v>
      </c>
      <c r="P473" s="16" t="s">
        <v>94</v>
      </c>
      <c r="Q473" s="16" t="s">
        <v>445</v>
      </c>
      <c r="R473" s="16" t="s">
        <v>91</v>
      </c>
      <c r="S473" s="16" t="s">
        <v>92</v>
      </c>
      <c r="T473" s="16" t="s">
        <v>90</v>
      </c>
      <c r="U473" s="16" t="s">
        <v>93</v>
      </c>
      <c r="V473" s="16" t="s">
        <v>453</v>
      </c>
      <c r="W473" s="16" t="s">
        <v>451</v>
      </c>
    </row>
    <row r="474" spans="1:23" x14ac:dyDescent="0.2">
      <c r="A474" s="9" t="s">
        <v>785</v>
      </c>
      <c r="B474" s="9">
        <f ca="1">+IF(A474=WORLDCUP!$BI$112,1,0)</f>
        <v>0</v>
      </c>
      <c r="C474" s="9" t="str">
        <f ca="1">+WORLDCUP!BD62</f>
        <v>Costa de Marfil</v>
      </c>
      <c r="D474" s="9" t="str">
        <f ca="1">+WORLDCUP!BD64</f>
        <v>Irán</v>
      </c>
      <c r="E474" s="9" t="str">
        <f ca="1">+WORLDCUP!BD59</f>
        <v>Catar</v>
      </c>
      <c r="F474" s="9" t="str">
        <f ca="1">+WORLDCUP!BD60</f>
        <v>Haití</v>
      </c>
      <c r="G474" s="9" t="str">
        <f ca="1">+WORLDCUP!BD58</f>
        <v>Corea del Sur</v>
      </c>
      <c r="H474" s="9" t="str">
        <f ca="1">+WORLDCUP!BD61</f>
        <v>Australia</v>
      </c>
      <c r="I474" s="9" t="str">
        <f ca="1">+WORLDCUP!BD67</f>
        <v>Austria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x14ac:dyDescent="0.2">
      <c r="A475" s="9" t="s">
        <v>784</v>
      </c>
      <c r="B475" s="9">
        <f ca="1">+IF(A475=WORLDCUP!$BI$112,1,0)</f>
        <v>0</v>
      </c>
      <c r="C475" s="9" t="str">
        <f ca="1">+WORLDCUP!BD62</f>
        <v>Costa de Marfil</v>
      </c>
      <c r="D475" s="9" t="str">
        <f ca="1">+WORLDCUP!BD64</f>
        <v>Irán</v>
      </c>
      <c r="E475" s="9" t="str">
        <f ca="1">+WORLDCUP!BD59</f>
        <v>Catar</v>
      </c>
      <c r="F475" s="9" t="str">
        <f ca="1">+WORLDCUP!BD60</f>
        <v>Haití</v>
      </c>
      <c r="G475" s="9" t="str">
        <f ca="1">+WORLDCUP!BD58</f>
        <v>Corea del Sur</v>
      </c>
      <c r="H475" s="9" t="str">
        <f ca="1">+WORLDCUP!BD61</f>
        <v>Australia</v>
      </c>
      <c r="I475" s="9" t="str">
        <f ca="1">+WORLDCUP!BD69</f>
        <v>Ghana</v>
      </c>
      <c r="J475" s="9" t="str">
        <f ca="1">+WORLDCUP!BD66</f>
        <v>Irak</v>
      </c>
      <c r="N475" s="16" t="s">
        <v>784</v>
      </c>
      <c r="O475" s="16">
        <v>474</v>
      </c>
      <c r="P475" s="16" t="s">
        <v>94</v>
      </c>
      <c r="Q475" s="16" t="s">
        <v>445</v>
      </c>
      <c r="R475" s="16" t="s">
        <v>91</v>
      </c>
      <c r="S475" s="16" t="s">
        <v>92</v>
      </c>
      <c r="T475" s="16" t="s">
        <v>90</v>
      </c>
      <c r="U475" s="16" t="s">
        <v>93</v>
      </c>
      <c r="V475" s="16" t="s">
        <v>453</v>
      </c>
      <c r="W475" s="16" t="s">
        <v>450</v>
      </c>
    </row>
    <row r="476" spans="1:23" x14ac:dyDescent="0.2">
      <c r="A476" s="9" t="s">
        <v>783</v>
      </c>
      <c r="B476" s="9">
        <f ca="1">+IF(A476=WORLDCUP!$BI$112,1,0)</f>
        <v>0</v>
      </c>
      <c r="C476" s="9" t="str">
        <f ca="1">+WORLDCUP!BD62</f>
        <v>Costa de Marfil</v>
      </c>
      <c r="D476" s="9" t="str">
        <f ca="1">+WORLDCUP!BD64</f>
        <v>Irán</v>
      </c>
      <c r="E476" s="9" t="str">
        <f ca="1">+WORLDCUP!BD59</f>
        <v>Catar</v>
      </c>
      <c r="F476" s="9" t="str">
        <f ca="1">+WORLDCUP!BD60</f>
        <v>Haití</v>
      </c>
      <c r="G476" s="9" t="str">
        <f ca="1">+WORLDCUP!BD58</f>
        <v>Corea del Sur</v>
      </c>
      <c r="H476" s="9" t="str">
        <f ca="1">+WORLDCUP!BD61</f>
        <v>Australia</v>
      </c>
      <c r="I476" s="9" t="str">
        <f ca="1">+WORLDCUP!BD66</f>
        <v>Irak</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x14ac:dyDescent="0.2">
      <c r="A477" s="9" t="s">
        <v>782</v>
      </c>
      <c r="B477" s="9">
        <f ca="1">+IF(A477=WORLDCUP!$BI$112,1,0)</f>
        <v>0</v>
      </c>
      <c r="C477" s="9" t="str">
        <f ca="1">+WORLDCUP!BD62</f>
        <v>Costa de Marfil</v>
      </c>
      <c r="D477" s="9" t="str">
        <f ca="1">+WORLDCUP!BD64</f>
        <v>Irán</v>
      </c>
      <c r="E477" s="9" t="str">
        <f ca="1">+WORLDCUP!BD59</f>
        <v>Catar</v>
      </c>
      <c r="F477" s="9" t="str">
        <f ca="1">+WORLDCUP!BD60</f>
        <v>Haití</v>
      </c>
      <c r="G477" s="9" t="str">
        <f ca="1">+WORLDCUP!BD58</f>
        <v>Corea del Sur</v>
      </c>
      <c r="H477" s="9" t="str">
        <f ca="1">+WORLDCUP!BD61</f>
        <v>Australia</v>
      </c>
      <c r="I477" s="9" t="str">
        <f ca="1">+WORLDCUP!BD66</f>
        <v>Irak</v>
      </c>
      <c r="J477" s="9" t="str">
        <f ca="1">+WORLDCUP!BD67</f>
        <v>Austria</v>
      </c>
      <c r="N477" s="16" t="s">
        <v>782</v>
      </c>
      <c r="O477" s="16">
        <v>476</v>
      </c>
      <c r="P477" s="16" t="s">
        <v>94</v>
      </c>
      <c r="Q477" s="16" t="s">
        <v>445</v>
      </c>
      <c r="R477" s="16" t="s">
        <v>91</v>
      </c>
      <c r="S477" s="16" t="s">
        <v>92</v>
      </c>
      <c r="T477" s="16" t="s">
        <v>90</v>
      </c>
      <c r="U477" s="16" t="s">
        <v>93</v>
      </c>
      <c r="V477" s="16" t="s">
        <v>450</v>
      </c>
      <c r="W477" s="16" t="s">
        <v>451</v>
      </c>
    </row>
    <row r="478" spans="1:23" x14ac:dyDescent="0.2">
      <c r="A478" s="9" t="s">
        <v>781</v>
      </c>
      <c r="B478" s="9">
        <f ca="1">+IF(A478=WORLDCUP!$BI$112,1,0)</f>
        <v>0</v>
      </c>
      <c r="C478" s="9" t="str">
        <f ca="1">+WORLDCUP!BD65</f>
        <v>Arabia Saudita</v>
      </c>
      <c r="D478" s="9" t="str">
        <f ca="1">+WORLDCUP!BD64</f>
        <v>Irán</v>
      </c>
      <c r="E478" s="9" t="str">
        <f ca="1">+WORLDCUP!BD59</f>
        <v>Catar</v>
      </c>
      <c r="F478" s="9" t="str">
        <f ca="1">+WORLDCUP!BD60</f>
        <v>Haití</v>
      </c>
      <c r="G478" s="9" t="str">
        <f ca="1">+WORLDCUP!BD58</f>
        <v>Corea del Sur</v>
      </c>
      <c r="H478" s="9" t="str">
        <f ca="1">+WORLDCUP!BD61</f>
        <v>Australia</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x14ac:dyDescent="0.2">
      <c r="A479" s="9" t="s">
        <v>780</v>
      </c>
      <c r="B479" s="9">
        <f ca="1">+IF(A479=WORLDCUP!$BI$112,1,0)</f>
        <v>0</v>
      </c>
      <c r="C479" s="9" t="str">
        <f ca="1">+WORLDCUP!BD65</f>
        <v>Arabia Saudita</v>
      </c>
      <c r="D479" s="9" t="str">
        <f ca="1">+WORLDCUP!BD64</f>
        <v>Irán</v>
      </c>
      <c r="E479" s="9" t="str">
        <f ca="1">+WORLDCUP!BD59</f>
        <v>Catar</v>
      </c>
      <c r="F479" s="9" t="str">
        <f ca="1">+WORLDCUP!BD60</f>
        <v>Haití</v>
      </c>
      <c r="G479" s="9" t="str">
        <f ca="1">+WORLDCUP!BD58</f>
        <v>Corea del Sur</v>
      </c>
      <c r="H479" s="9" t="str">
        <f ca="1">+WORLDCUP!BD61</f>
        <v>Australia</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x14ac:dyDescent="0.2">
      <c r="A480" s="9" t="s">
        <v>779</v>
      </c>
      <c r="B480" s="9">
        <f ca="1">+IF(A480=WORLDCUP!$BI$112,1,0)</f>
        <v>0</v>
      </c>
      <c r="C480" s="9" t="str">
        <f ca="1">+WORLDCUP!BD65</f>
        <v>Arabia Saudita</v>
      </c>
      <c r="D480" s="9" t="str">
        <f ca="1">+WORLDCUP!BD64</f>
        <v>Irán</v>
      </c>
      <c r="E480" s="9" t="str">
        <f ca="1">+WORLDCUP!BD59</f>
        <v>Catar</v>
      </c>
      <c r="F480" s="9" t="str">
        <f ca="1">+WORLDCUP!BD60</f>
        <v>Haití</v>
      </c>
      <c r="G480" s="9" t="str">
        <f ca="1">+WORLDCUP!BD58</f>
        <v>Corea del Sur</v>
      </c>
      <c r="H480" s="9" t="str">
        <f ca="1">+WORLDCUP!BD61</f>
        <v>Australia</v>
      </c>
      <c r="I480" s="9" t="str">
        <f ca="1">+WORLDCUP!BD62</f>
        <v>Costa de Marfil</v>
      </c>
      <c r="J480" s="9" t="str">
        <f ca="1">+WORLDCUP!BD67</f>
        <v>Austria</v>
      </c>
      <c r="N480" s="16" t="s">
        <v>779</v>
      </c>
      <c r="O480" s="16">
        <v>479</v>
      </c>
      <c r="P480" s="16" t="s">
        <v>446</v>
      </c>
      <c r="Q480" s="16" t="s">
        <v>445</v>
      </c>
      <c r="R480" s="16" t="s">
        <v>91</v>
      </c>
      <c r="S480" s="16" t="s">
        <v>92</v>
      </c>
      <c r="T480" s="16" t="s">
        <v>90</v>
      </c>
      <c r="U480" s="16" t="s">
        <v>93</v>
      </c>
      <c r="V480" s="16" t="s">
        <v>94</v>
      </c>
      <c r="W480" s="16" t="s">
        <v>451</v>
      </c>
    </row>
    <row r="481" spans="1:23" x14ac:dyDescent="0.2">
      <c r="A481" s="9" t="s">
        <v>778</v>
      </c>
      <c r="B481" s="9">
        <f ca="1">+IF(A481=WORLDCUP!$BI$112,1,0)</f>
        <v>0</v>
      </c>
      <c r="C481" s="9" t="str">
        <f ca="1">+WORLDCUP!BD65</f>
        <v>Arabia Saudita</v>
      </c>
      <c r="D481" s="9" t="str">
        <f ca="1">+WORLDCUP!BD64</f>
        <v>Irán</v>
      </c>
      <c r="E481" s="9" t="str">
        <f ca="1">+WORLDCUP!BD59</f>
        <v>Catar</v>
      </c>
      <c r="F481" s="9" t="str">
        <f ca="1">+WORLDCUP!BD60</f>
        <v>Haití</v>
      </c>
      <c r="G481" s="9" t="str">
        <f ca="1">+WORLDCUP!BD58</f>
        <v>Corea del Sur</v>
      </c>
      <c r="H481" s="9" t="str">
        <f ca="1">+WORLDCUP!BD61</f>
        <v>Australia</v>
      </c>
      <c r="I481" s="9" t="str">
        <f ca="1">+WORLDCUP!BD62</f>
        <v>Costa de Marfil</v>
      </c>
      <c r="J481" s="9" t="str">
        <f ca="1">+WORLDCUP!BD66</f>
        <v>Irak</v>
      </c>
      <c r="N481" s="16" t="s">
        <v>778</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Corea del Sur</v>
      </c>
      <c r="H482" s="9" t="str">
        <f ca="1">+WORLDCUP!BD63</f>
        <v>Suecia</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Haití</v>
      </c>
      <c r="D483" s="9" t="str">
        <f ca="1">+WORLDCUP!BD67</f>
        <v>Austria</v>
      </c>
      <c r="E483" s="9" t="str">
        <f ca="1">+WORLDCUP!BD59</f>
        <v>Catar</v>
      </c>
      <c r="F483" s="9" t="str">
        <f ca="1">+WORLDCUP!BD61</f>
        <v>Australia</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Haití</v>
      </c>
      <c r="D484" s="9" t="str">
        <f ca="1">+WORLDCUP!BD67</f>
        <v>Austria</v>
      </c>
      <c r="E484" s="9" t="str">
        <f ca="1">+WORLDCUP!BD59</f>
        <v>Catar</v>
      </c>
      <c r="F484" s="9" t="str">
        <f ca="1">+WORLDCUP!BD61</f>
        <v>Australia</v>
      </c>
      <c r="G484" s="9" t="str">
        <f ca="1">+WORLDCUP!BD58</f>
        <v>Corea del Sur</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Corea del Sur</v>
      </c>
      <c r="H485" s="9" t="str">
        <f ca="1">+WORLDCUP!BD63</f>
        <v>Suecia</v>
      </c>
      <c r="I485" s="9" t="str">
        <f ca="1">+WORLDCUP!BD69</f>
        <v>Ghana</v>
      </c>
      <c r="J485" s="9" t="str">
        <f ca="1">+WORLDCUP!BD66</f>
        <v>Irak</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Corea del Sur</v>
      </c>
      <c r="H486" s="9" t="str">
        <f ca="1">+WORLDCUP!BD63</f>
        <v>Suecia</v>
      </c>
      <c r="I486" s="9" t="str">
        <f ca="1">+WORLDCUP!BD66</f>
        <v>Irak</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Haití</v>
      </c>
      <c r="D487" s="9" t="str">
        <f ca="1">+WORLDCUP!BD67</f>
        <v>Austria</v>
      </c>
      <c r="E487" s="9" t="str">
        <f ca="1">+WORLDCUP!BD59</f>
        <v>Catar</v>
      </c>
      <c r="F487" s="9" t="str">
        <f ca="1">+WORLDCUP!BD61</f>
        <v>Australia</v>
      </c>
      <c r="G487" s="9" t="str">
        <f ca="1">+WORLDCUP!BD58</f>
        <v>Corea del Sur</v>
      </c>
      <c r="H487" s="9" t="str">
        <f ca="1">+WORLDCUP!BD63</f>
        <v>Suecia</v>
      </c>
      <c r="I487" s="9" t="str">
        <f ca="1">+WORLDCUP!BD62</f>
        <v>Costa de Marfil</v>
      </c>
      <c r="J487" s="9" t="str">
        <f ca="1">+WORLDCUP!BD66</f>
        <v>Irak</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Arabia Saudita</v>
      </c>
      <c r="D488" s="9" t="str">
        <f ca="1">+WORLDCUP!BD63</f>
        <v>Suecia</v>
      </c>
      <c r="E488" s="9" t="str">
        <f ca="1">+WORLDCUP!BD59</f>
        <v>Catar</v>
      </c>
      <c r="F488" s="9" t="str">
        <f ca="1">+WORLDCUP!BD60</f>
        <v>Haití</v>
      </c>
      <c r="G488" s="9" t="str">
        <f ca="1">+WORLDCUP!BD58</f>
        <v>Corea del Sur</v>
      </c>
      <c r="H488" s="9" t="str">
        <f ca="1">+WORLDCUP!BD61</f>
        <v>Australia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Corea del Sur</v>
      </c>
      <c r="H489" s="9" t="str">
        <f ca="1">+WORLDCUP!BD63</f>
        <v>Suecia</v>
      </c>
      <c r="I489" s="9" t="str">
        <f ca="1">+WORLDCUP!BD61</f>
        <v>Australia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Arabia Saudita</v>
      </c>
      <c r="D490" s="9" t="str">
        <f ca="1">+WORLDCUP!BD67</f>
        <v>Austria</v>
      </c>
      <c r="E490" s="9" t="str">
        <f ca="1">+WORLDCUP!BD59</f>
        <v>Catar</v>
      </c>
      <c r="F490" s="9" t="str">
        <f ca="1">+WORLDCUP!BD60</f>
        <v>Haití</v>
      </c>
      <c r="G490" s="9" t="str">
        <f ca="1">+WORLDCUP!BD58</f>
        <v>Corea del Sur</v>
      </c>
      <c r="H490" s="9" t="str">
        <f ca="1">+WORLDCUP!BD63</f>
        <v>Suecia</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Corea del Sur</v>
      </c>
      <c r="H491" s="9" t="str">
        <f ca="1">+WORLDCUP!BD63</f>
        <v>Suecia</v>
      </c>
      <c r="I491" s="9" t="str">
        <f ca="1">+WORLDCUP!BD61</f>
        <v>Australia</v>
      </c>
      <c r="J491" s="9" t="str">
        <f ca="1">+WORLDCUP!BD66</f>
        <v>Irak</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Haití</v>
      </c>
      <c r="D492" s="9" t="str">
        <f ca="1">+WORLDCUP!BD64</f>
        <v>Irán</v>
      </c>
      <c r="E492" s="9" t="str">
        <f ca="1">+WORLDCUP!BD59</f>
        <v>Catar</v>
      </c>
      <c r="F492" s="9" t="str">
        <f ca="1">+WORLDCUP!BD61</f>
        <v>Australia</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Haití</v>
      </c>
      <c r="D493" s="9" t="str">
        <f ca="1">+WORLDCUP!BD64</f>
        <v>Irán</v>
      </c>
      <c r="E493" s="9" t="str">
        <f ca="1">+WORLDCUP!BD59</f>
        <v>Catar</v>
      </c>
      <c r="F493" s="9" t="str">
        <f ca="1">+WORLDCUP!BD61</f>
        <v>Australia</v>
      </c>
      <c r="G493" s="9" t="str">
        <f ca="1">+WORLDCUP!BD58</f>
        <v>Corea del Sur</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Haití</v>
      </c>
      <c r="D494" s="9" t="str">
        <f ca="1">+WORLDCUP!BD64</f>
        <v>Irán</v>
      </c>
      <c r="E494" s="9" t="str">
        <f ca="1">+WORLDCUP!BD59</f>
        <v>Catar</v>
      </c>
      <c r="F494" s="9" t="str">
        <f ca="1">+WORLDCUP!BD61</f>
        <v>Australia</v>
      </c>
      <c r="G494" s="9" t="str">
        <f ca="1">+WORLDCUP!BD58</f>
        <v>Corea del Sur</v>
      </c>
      <c r="H494" s="9" t="str">
        <f ca="1">+WORLDCUP!BD63</f>
        <v>Suecia</v>
      </c>
      <c r="I494" s="9" t="str">
        <f ca="1">+WORLDCUP!BD62</f>
        <v>Costa de Marfil</v>
      </c>
      <c r="J494" s="9" t="str">
        <f ca="1">+WORLDCUP!BD67</f>
        <v>Austria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Haití</v>
      </c>
      <c r="D495" s="9" t="str">
        <f ca="1">+WORLDCUP!BD64</f>
        <v>Irán</v>
      </c>
      <c r="E495" s="9" t="str">
        <f ca="1">+WORLDCUP!BD59</f>
        <v>Catar</v>
      </c>
      <c r="F495" s="9" t="str">
        <f ca="1">+WORLDCUP!BD61</f>
        <v>Australia</v>
      </c>
      <c r="G495" s="9" t="str">
        <f ca="1">+WORLDCUP!BD58</f>
        <v>Corea del Sur</v>
      </c>
      <c r="H495" s="9" t="str">
        <f ca="1">+WORLDCUP!BD63</f>
        <v>Suecia</v>
      </c>
      <c r="I495" s="9" t="str">
        <f ca="1">+WORLDCUP!BD62</f>
        <v>Costa de Marfil</v>
      </c>
      <c r="J495" s="9" t="str">
        <f ca="1">+WORLDCUP!BD66</f>
        <v>Irak</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Arabia Saudita</v>
      </c>
      <c r="D496" s="9" t="str">
        <f ca="1">+WORLDCUP!BD64</f>
        <v>Irán</v>
      </c>
      <c r="E496" s="9" t="str">
        <f ca="1">+WORLDCUP!BD59</f>
        <v>Catar</v>
      </c>
      <c r="F496" s="9" t="str">
        <f ca="1">+WORLDCUP!BD60</f>
        <v>Haití</v>
      </c>
      <c r="G496" s="9" t="str">
        <f ca="1">+WORLDCUP!BD58</f>
        <v>Corea del Sur</v>
      </c>
      <c r="H496" s="9" t="str">
        <f ca="1">+WORLDCUP!BD63</f>
        <v>Suecia</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733</v>
      </c>
      <c r="B497" s="409" t="str">
        <f ca="1">+IF(AND(WORLDCUP!$H$113=144,SUM(Combinaciones!$B$2:$B$496)=1),"OK",IF(AND(WORLDCUP!$H$113=144,SUM(Combinaciones!$B$2:$B$496)=0),"Error1",IF(AND(WORLDCUP!$H$113&lt;&gt;144,SUM(Combinaciones!$B$2:$B$496)=1),"Error2",IF(AND(WORLDCUP!$H$113&lt;&gt;144,SUM(Combinaciones!$B$2:$B$496)=0),"Faltan partidos","OTRA COSA"))))</f>
        <v>Faltan partidos</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1326</v>
      </c>
      <c r="F15" s="238"/>
      <c r="G15" s="237" t="s">
        <v>1327</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1377</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x14ac:dyDescent="0.2">
      <c r="A21" s="258"/>
      <c r="B21" s="259"/>
      <c r="C21" s="264" t="s">
        <v>1325</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1274</v>
      </c>
      <c r="D25" s="273"/>
      <c r="E25" s="271">
        <v>2</v>
      </c>
      <c r="F25" s="273"/>
      <c r="G25" s="272">
        <v>0</v>
      </c>
      <c r="H25" s="260"/>
      <c r="I25" s="260"/>
      <c r="J25" s="261"/>
      <c r="K25" s="258"/>
      <c r="L25" s="345" t="s">
        <v>1313</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1276</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1277</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21" t="str">
        <f>HYPERLINK(Idiomas!D10,Idiomas!D9)</f>
        <v>▼ Descargar Excel Administrador Porra ▼</v>
      </c>
      <c r="C34" s="722"/>
      <c r="D34" s="722"/>
      <c r="E34" s="722"/>
      <c r="F34" s="722"/>
      <c r="G34" s="722"/>
      <c r="H34" s="722"/>
      <c r="I34" s="722"/>
      <c r="J34" s="723"/>
      <c r="K34" s="227"/>
      <c r="L34" s="288" t="s">
        <v>1351</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1472</v>
      </c>
      <c r="N86" s="6"/>
      <c r="O86" s="6"/>
      <c r="P86" s="6"/>
      <c r="Q86" s="6"/>
      <c r="R86" s="6"/>
      <c r="T86" s="16" t="s">
        <v>1477</v>
      </c>
      <c r="U86" s="409" t="s">
        <v>1459</v>
      </c>
      <c r="V86" s="409" t="s">
        <v>1460</v>
      </c>
      <c r="W86" s="409" t="s">
        <v>1473</v>
      </c>
      <c r="X86" s="409" t="s">
        <v>1474</v>
      </c>
      <c r="Y86" s="409" t="s">
        <v>1475</v>
      </c>
      <c r="Z86" s="6"/>
      <c r="AA86" s="6"/>
      <c r="AB86" s="6"/>
    </row>
    <row r="87" spans="12:28" x14ac:dyDescent="0.2">
      <c r="L87" s="3"/>
      <c r="M87" s="612"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1">
        <v>#VALUE!</v>
      </c>
      <c r="Y87" s="9">
        <v>3.5</v>
      </c>
      <c r="Z87" s="6"/>
      <c r="AA87" s="6"/>
      <c r="AB87" s="6"/>
    </row>
    <row r="88" spans="12:28" x14ac:dyDescent="0.2">
      <c r="L88" s="3"/>
      <c r="M88" s="3"/>
      <c r="N88" s="3"/>
      <c r="O88" s="6"/>
      <c r="P88" s="6"/>
      <c r="Q88" s="6"/>
      <c r="R88" s="6"/>
      <c r="T88" s="16" t="s">
        <v>1479</v>
      </c>
      <c r="U88" s="9" t="s">
        <v>1464</v>
      </c>
      <c r="V88" s="9" t="s">
        <v>1465</v>
      </c>
      <c r="W88" s="9" t="s">
        <v>1466</v>
      </c>
      <c r="X88" s="584" t="e" vm="2">
        <v>#VALUE!</v>
      </c>
      <c r="Y88" s="9">
        <v>4</v>
      </c>
      <c r="Z88" s="6"/>
      <c r="AA88" s="6"/>
      <c r="AB88" s="6"/>
    </row>
    <row r="89" spans="12:28" ht="16" x14ac:dyDescent="0.2">
      <c r="L89" s="3"/>
      <c r="M89" s="3"/>
      <c r="N89" s="3"/>
      <c r="O89" s="6"/>
      <c r="P89" s="6"/>
      <c r="Q89" s="6"/>
      <c r="R89" s="6"/>
      <c r="T89" s="16" t="s">
        <v>1480</v>
      </c>
      <c r="U89" s="9" t="s">
        <v>1467</v>
      </c>
      <c r="V89" s="9" t="s">
        <v>1467</v>
      </c>
      <c r="W89" s="585" t="s">
        <v>1469</v>
      </c>
      <c r="X89" s="584" t="e" vm="3">
        <v>#VALUE!</v>
      </c>
      <c r="Y89" s="9">
        <v>-4</v>
      </c>
      <c r="Z89" s="6"/>
      <c r="AA89" s="6"/>
      <c r="AB89" s="6"/>
    </row>
    <row r="90" spans="12:28" ht="16" x14ac:dyDescent="0.2">
      <c r="L90" s="3"/>
      <c r="M90" s="3"/>
      <c r="N90" s="3"/>
      <c r="O90" s="6"/>
      <c r="P90" s="6"/>
      <c r="Q90" s="6"/>
      <c r="R90" s="6"/>
      <c r="T90" s="16" t="s">
        <v>1481</v>
      </c>
      <c r="U90" s="9" t="s">
        <v>1468</v>
      </c>
      <c r="V90" s="9" t="s">
        <v>1471</v>
      </c>
      <c r="W90" s="586" t="s">
        <v>1470</v>
      </c>
      <c r="X90" s="584" t="e" vm="4">
        <v>#VALUE!</v>
      </c>
      <c r="Y90" s="9">
        <v>-3</v>
      </c>
      <c r="Z90" s="6"/>
      <c r="AA90" s="6"/>
      <c r="AB90" s="6"/>
    </row>
    <row r="91" spans="12:28" x14ac:dyDescent="0.2">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1459</v>
      </c>
      <c r="O92" s="409" t="s">
        <v>1460</v>
      </c>
      <c r="P92" s="409" t="s">
        <v>1494</v>
      </c>
      <c r="Q92" s="409" t="s">
        <v>1482</v>
      </c>
      <c r="R92" s="409" t="s">
        <v>1474</v>
      </c>
      <c r="Z92" s="6"/>
      <c r="AA92" s="6"/>
      <c r="AB92" s="6"/>
    </row>
    <row r="93" spans="12:28" ht="25" customHeight="1" x14ac:dyDescent="0.2">
      <c r="L93" s="3"/>
      <c r="M93" s="9" t="s">
        <v>1476</v>
      </c>
      <c r="N93" s="587" t="s">
        <v>1515</v>
      </c>
      <c r="O93" s="587" t="s">
        <v>1483</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1452</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1378</v>
      </c>
      <c r="FA6120" s="614" t="s">
        <v>1379</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1381</v>
      </c>
      <c r="FA6121" s="614" t="s">
        <v>1382</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1262</v>
      </c>
      <c r="FA6122" s="614" t="s">
        <v>1262</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1263</v>
      </c>
      <c r="FA6123" s="614" t="s">
        <v>1263</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1264</v>
      </c>
      <c r="FA6126" s="614" t="s">
        <v>1280</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1384</v>
      </c>
      <c r="FA6127" s="614" t="s">
        <v>1385</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1265</v>
      </c>
      <c r="FA6128" s="614" t="s">
        <v>1282</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1387</v>
      </c>
      <c r="FA6129" s="614" t="s">
        <v>1388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1336</v>
      </c>
      <c r="FA6130" s="614" t="s">
        <v>1336</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1266</v>
      </c>
      <c r="FA6131" s="614" t="s">
        <v>1284</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614" t="s">
        <v>1391</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1405</v>
      </c>
      <c r="FA6134" s="614" t="s">
        <v>1410</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1267</v>
      </c>
      <c r="FA6135" s="614" t="s">
        <v>1267</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1393</v>
      </c>
      <c r="FA6136" s="614" t="s">
        <v>1394</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1396</v>
      </c>
      <c r="FA6141" s="614" t="s">
        <v>1396</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1404</v>
      </c>
      <c r="FA6142" s="614" t="s">
        <v>1408</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1269</v>
      </c>
      <c r="FA6145" s="614" t="s">
        <v>1290</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1270</v>
      </c>
      <c r="FA6146" s="614" t="s">
        <v>1292</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1337</v>
      </c>
      <c r="FA6147" s="614" t="s">
        <v>1342</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1271</v>
      </c>
      <c r="FA6148" s="614" t="s">
        <v>1294</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1272</v>
      </c>
      <c r="FA6150" s="614" t="s">
        <v>1296</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1403</v>
      </c>
      <c r="FA6152" s="614" t="s">
        <v>1406</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1335</v>
      </c>
      <c r="FA6153" s="614" t="s">
        <v>1335</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1398</v>
      </c>
      <c r="FA6155" s="614" t="s">
        <v>1398</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1400</v>
      </c>
      <c r="FA6156" s="614" t="s">
        <v>1401</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1338</v>
      </c>
      <c r="FA6158" s="614" t="s">
        <v>1344</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1334</v>
      </c>
      <c r="FA6159" s="614" t="s">
        <v>1334</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1273</v>
      </c>
      <c r="FA6160" s="614" t="s">
        <v>1298</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x14ac:dyDescent="0.2">
      <c r="A1" s="409" t="s">
        <v>379</v>
      </c>
      <c r="B1" s="409" t="s">
        <v>32</v>
      </c>
      <c r="C1" s="409" t="s">
        <v>73</v>
      </c>
      <c r="D1" s="409" t="s">
        <v>11</v>
      </c>
      <c r="E1" s="9"/>
      <c r="F1" s="9" t="s">
        <v>35</v>
      </c>
      <c r="G1" s="9"/>
      <c r="H1" s="409"/>
      <c r="I1" s="409"/>
      <c r="J1" s="9"/>
      <c r="K1" s="9" t="s">
        <v>70</v>
      </c>
      <c r="L1" s="9" t="s">
        <v>1359</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6">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7">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8">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9">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12">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13">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14">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15">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16">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17">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18">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20">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21">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22">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25">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27">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28">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31">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32">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33">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34">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36">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38">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39">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41">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42">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44">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45">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46">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1514</v>
      </c>
      <c r="M44" s="620" t="e" vm="47">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1463</v>
      </c>
      <c r="M45" s="620" t="e" vm="48">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1508</v>
      </c>
      <c r="M46" s="621" t="e" vm="49">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1502</v>
      </c>
      <c r="M47" s="620" t="e" vm="50">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1505</v>
      </c>
      <c r="M48" s="620" t="e" vm="51">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1511</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x14ac:dyDescent="0.2">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x14ac:dyDescent="0.2">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6" x14ac:dyDescent="0.2">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6" x14ac:dyDescent="0.2">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6" x14ac:dyDescent="0.2">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6" x14ac:dyDescent="0.2">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6" x14ac:dyDescent="0.2">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6" x14ac:dyDescent="0.2">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6"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6"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6" x14ac:dyDescent="0.2">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6" x14ac:dyDescent="0.2">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6" x14ac:dyDescent="0.2">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6" x14ac:dyDescent="0.2">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6" x14ac:dyDescent="0.2">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6" x14ac:dyDescent="0.2">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6"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6"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6" x14ac:dyDescent="0.2">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6" x14ac:dyDescent="0.2">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6" x14ac:dyDescent="0.2">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6" x14ac:dyDescent="0.2">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6" x14ac:dyDescent="0.2">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6" x14ac:dyDescent="0.2">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6"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6"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6" x14ac:dyDescent="0.2">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6" x14ac:dyDescent="0.2">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6" x14ac:dyDescent="0.2">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6" x14ac:dyDescent="0.2">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6" x14ac:dyDescent="0.2">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6" x14ac:dyDescent="0.2">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6"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6"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6" x14ac:dyDescent="0.2">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6" x14ac:dyDescent="0.2">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6" x14ac:dyDescent="0.2">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6" x14ac:dyDescent="0.2">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6" x14ac:dyDescent="0.2">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6" x14ac:dyDescent="0.2">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6"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6"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x14ac:dyDescent="0.2">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46197.166666666664</v>
      </c>
      <c r="D87" s="622"/>
    </row>
    <row r="88" spans="1:35" x14ac:dyDescent="0.2">
      <c r="A88" s="594">
        <v>46200.8125</v>
      </c>
      <c r="B88" s="16"/>
      <c r="C88" s="594">
        <f t="shared" ca="1" si="35"/>
        <v>46201.0625</v>
      </c>
      <c r="D88" s="622"/>
    </row>
    <row r="89" spans="1:35" x14ac:dyDescent="0.2">
      <c r="A89" s="594">
        <v>46200.8125</v>
      </c>
      <c r="B89" s="16"/>
      <c r="C89" s="594">
        <f t="shared" ca="1" si="35"/>
        <v>46201.0625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46190.916666666664</v>
      </c>
      <c r="D92" s="622"/>
    </row>
    <row r="93" spans="1:35" x14ac:dyDescent="0.2">
      <c r="A93" s="594">
        <v>46190.791666666664</v>
      </c>
      <c r="B93" s="16"/>
      <c r="C93" s="594">
        <f t="shared" ca="1" si="36"/>
        <v>46191.041666666664</v>
      </c>
      <c r="D93" s="622"/>
    </row>
    <row r="94" spans="1:35" x14ac:dyDescent="0.2">
      <c r="A94" s="594">
        <v>46196.666666666664</v>
      </c>
      <c r="B94" s="16"/>
      <c r="C94" s="594">
        <f t="shared" ca="1" si="36"/>
        <v>46196.916666666664</v>
      </c>
      <c r="D94" s="622"/>
    </row>
    <row r="95" spans="1:35" x14ac:dyDescent="0.2">
      <c r="A95" s="594">
        <v>46196.791666666664</v>
      </c>
      <c r="B95" s="16"/>
      <c r="C95" s="594">
        <f t="shared" ca="1" si="36"/>
        <v>46197.041666666664</v>
      </c>
      <c r="D95" s="622"/>
    </row>
    <row r="96" spans="1:35" x14ac:dyDescent="0.2">
      <c r="A96" s="594">
        <v>46200.708333333336</v>
      </c>
      <c r="B96" s="16"/>
      <c r="C96" s="594">
        <f t="shared" ca="1" si="36"/>
        <v>46200.958333333336</v>
      </c>
      <c r="D96" s="622"/>
    </row>
    <row r="97" spans="1:10" x14ac:dyDescent="0.2">
      <c r="A97" s="594">
        <v>46200.708333333336</v>
      </c>
      <c r="B97" s="16"/>
      <c r="C97" s="594">
        <f t="shared" ca="1" si="36"/>
        <v>46200.958333333336</v>
      </c>
      <c r="D97" s="622"/>
    </row>
    <row r="98" spans="1:10" x14ac:dyDescent="0.2">
      <c r="A98" s="16"/>
      <c r="B98" s="16"/>
      <c r="C98" s="16"/>
    </row>
    <row r="99" spans="1:10" x14ac:dyDescent="0.2">
      <c r="A99" s="16"/>
      <c r="B99" s="16"/>
      <c r="C99" s="16"/>
    </row>
    <row r="100" spans="1:10" x14ac:dyDescent="0.2">
      <c r="A100" s="626" t="s">
        <v>500</v>
      </c>
      <c r="B100" s="16"/>
      <c r="C100" s="594"/>
      <c r="F100" s="16" t="s">
        <v>1456</v>
      </c>
      <c r="G100" s="16"/>
      <c r="I100" s="16" t="s">
        <v>1455</v>
      </c>
      <c r="J100" s="16"/>
    </row>
    <row r="101" spans="1:10" x14ac:dyDescent="0.2">
      <c r="A101" s="594">
        <v>46201.625</v>
      </c>
      <c r="B101" s="16"/>
      <c r="C101" s="594">
        <f t="shared" ref="C101:C116" ca="1" si="37">A101+INDEX($V$3:$V$86,MATCH($C$3,$P$3:$P$86,0))*INDEX($W$3:$W$86,MATCH($C$3,$P$3:$P$86,0))</f>
        <v>46201.875</v>
      </c>
      <c r="F101" s="16">
        <v>73</v>
      </c>
      <c r="G101" s="594">
        <v>46201.625</v>
      </c>
      <c r="I101" s="16">
        <v>73</v>
      </c>
      <c r="J101" s="594">
        <v>46201.625</v>
      </c>
    </row>
    <row r="102" spans="1:10" x14ac:dyDescent="0.2">
      <c r="A102" s="594">
        <v>46202.541666666664</v>
      </c>
      <c r="B102" s="16"/>
      <c r="C102" s="594">
        <f t="shared" ca="1" si="37"/>
        <v>46202.791666666664</v>
      </c>
      <c r="F102" s="16">
        <v>76</v>
      </c>
      <c r="G102" s="594">
        <v>46202.541666666664</v>
      </c>
      <c r="I102" s="16">
        <v>74</v>
      </c>
      <c r="J102" s="594">
        <v>46202.6875</v>
      </c>
    </row>
    <row r="103" spans="1:10" x14ac:dyDescent="0.2">
      <c r="A103" s="594">
        <v>46202.6875</v>
      </c>
      <c r="B103" s="16"/>
      <c r="C103" s="594">
        <f t="shared" ca="1" si="37"/>
        <v>46202.9375</v>
      </c>
      <c r="F103" s="16">
        <v>74</v>
      </c>
      <c r="G103" s="594">
        <v>46202.6875</v>
      </c>
      <c r="I103" s="16">
        <v>75</v>
      </c>
      <c r="J103" s="594">
        <v>46202.875</v>
      </c>
    </row>
    <row r="104" spans="1:10" x14ac:dyDescent="0.2">
      <c r="A104" s="594">
        <v>46202.875</v>
      </c>
      <c r="B104" s="16"/>
      <c r="C104" s="594">
        <f t="shared" ca="1" si="37"/>
        <v>46203.125</v>
      </c>
      <c r="F104" s="16">
        <v>75</v>
      </c>
      <c r="G104" s="594">
        <v>46202.875</v>
      </c>
      <c r="I104" s="16">
        <v>76</v>
      </c>
      <c r="J104" s="594">
        <v>46202.541666666664</v>
      </c>
    </row>
    <row r="105" spans="1:10" x14ac:dyDescent="0.2">
      <c r="A105" s="594">
        <v>46203.541666666664</v>
      </c>
      <c r="B105" s="16"/>
      <c r="C105" s="594">
        <f t="shared" ca="1" si="37"/>
        <v>46203.791666666664</v>
      </c>
      <c r="F105" s="16">
        <v>78</v>
      </c>
      <c r="G105" s="594">
        <v>46203.541666666664</v>
      </c>
      <c r="I105" s="16">
        <v>77</v>
      </c>
      <c r="J105" s="594">
        <v>46203.708333333336</v>
      </c>
    </row>
    <row r="106" spans="1:10" x14ac:dyDescent="0.2">
      <c r="A106" s="594">
        <v>46203.708333333336</v>
      </c>
      <c r="B106" s="16"/>
      <c r="C106" s="594">
        <f t="shared" ca="1" si="37"/>
        <v>46203.958333333336</v>
      </c>
      <c r="F106" s="16">
        <v>77</v>
      </c>
      <c r="G106" s="594">
        <v>46203.708333333336</v>
      </c>
      <c r="I106" s="16">
        <v>78</v>
      </c>
      <c r="J106" s="594">
        <v>46203.541666666664</v>
      </c>
    </row>
    <row r="107" spans="1:10" x14ac:dyDescent="0.2">
      <c r="A107" s="594">
        <v>46203.875</v>
      </c>
      <c r="B107" s="16"/>
      <c r="C107" s="594">
        <f t="shared" ca="1" si="37"/>
        <v>46204.125</v>
      </c>
      <c r="F107" s="16">
        <v>79</v>
      </c>
      <c r="G107" s="594">
        <v>46203.875</v>
      </c>
      <c r="I107" s="16">
        <v>79</v>
      </c>
      <c r="J107" s="594">
        <v>46203.875</v>
      </c>
    </row>
    <row r="108" spans="1:10" x14ac:dyDescent="0.2">
      <c r="A108" s="594">
        <v>46204.5</v>
      </c>
      <c r="B108" s="16"/>
      <c r="C108" s="594">
        <f t="shared" ca="1" si="37"/>
        <v>46204.75</v>
      </c>
      <c r="F108" s="16">
        <v>80</v>
      </c>
      <c r="G108" s="594">
        <v>46204.5</v>
      </c>
      <c r="I108" s="16">
        <v>80</v>
      </c>
      <c r="J108" s="594">
        <v>46204.5</v>
      </c>
    </row>
    <row r="109" spans="1:10" x14ac:dyDescent="0.2">
      <c r="A109" s="594">
        <v>46204.666666666664</v>
      </c>
      <c r="B109" s="16"/>
      <c r="C109" s="594">
        <f t="shared" ca="1" si="37"/>
        <v>46204.916666666664</v>
      </c>
      <c r="F109" s="16">
        <v>82</v>
      </c>
      <c r="G109" s="594">
        <v>46204.666666666664</v>
      </c>
      <c r="I109" s="16">
        <v>81</v>
      </c>
      <c r="J109" s="594">
        <v>46204.833333333336</v>
      </c>
    </row>
    <row r="110" spans="1:10" x14ac:dyDescent="0.2">
      <c r="A110" s="594">
        <v>46204.833333333336</v>
      </c>
      <c r="B110" s="16"/>
      <c r="C110" s="594">
        <f t="shared" ca="1" si="37"/>
        <v>46205.083333333336</v>
      </c>
      <c r="F110" s="16">
        <v>81</v>
      </c>
      <c r="G110" s="594">
        <v>46204.833333333336</v>
      </c>
      <c r="I110" s="16">
        <v>82</v>
      </c>
      <c r="J110" s="594">
        <v>46204.666666666664</v>
      </c>
    </row>
    <row r="111" spans="1:10" x14ac:dyDescent="0.2">
      <c r="A111" s="594">
        <v>46205.625</v>
      </c>
      <c r="B111" s="16"/>
      <c r="C111" s="594">
        <f t="shared" ca="1" si="37"/>
        <v>46205.875</v>
      </c>
      <c r="F111" s="16">
        <v>84</v>
      </c>
      <c r="G111" s="594">
        <v>46205.625</v>
      </c>
      <c r="I111" s="16">
        <v>83</v>
      </c>
      <c r="J111" s="594">
        <v>46205.791666666664</v>
      </c>
    </row>
    <row r="112" spans="1:10" x14ac:dyDescent="0.2">
      <c r="A112" s="594">
        <v>46205.791666666664</v>
      </c>
      <c r="B112" s="16"/>
      <c r="C112" s="594">
        <f t="shared" ca="1" si="37"/>
        <v>46206.041666666664</v>
      </c>
      <c r="F112" s="16">
        <v>83</v>
      </c>
      <c r="G112" s="594">
        <v>46205.791666666664</v>
      </c>
      <c r="I112" s="16">
        <v>84</v>
      </c>
      <c r="J112" s="594">
        <v>46205.625</v>
      </c>
    </row>
    <row r="113" spans="1:10" x14ac:dyDescent="0.2">
      <c r="A113" s="594">
        <v>46205.958333333336</v>
      </c>
      <c r="B113" s="16"/>
      <c r="C113" s="594">
        <f t="shared" ca="1" si="37"/>
        <v>46206.208333333336</v>
      </c>
      <c r="F113" s="16">
        <v>85</v>
      </c>
      <c r="G113" s="594">
        <v>46205.958333333336</v>
      </c>
      <c r="I113" s="16">
        <v>85</v>
      </c>
      <c r="J113" s="594">
        <v>46205.958333333336</v>
      </c>
    </row>
    <row r="114" spans="1:10" x14ac:dyDescent="0.2">
      <c r="A114" s="594">
        <v>46206.583333333336</v>
      </c>
      <c r="B114" s="16"/>
      <c r="C114" s="594">
        <f t="shared" ca="1" si="37"/>
        <v>46206.833333333336</v>
      </c>
      <c r="F114" s="16">
        <v>88</v>
      </c>
      <c r="G114" s="594">
        <v>46206.583333333336</v>
      </c>
      <c r="I114" s="16">
        <v>86</v>
      </c>
      <c r="J114" s="594">
        <v>46206.75</v>
      </c>
    </row>
    <row r="115" spans="1:10" x14ac:dyDescent="0.2">
      <c r="A115" s="594">
        <v>46206.75</v>
      </c>
      <c r="B115" s="16"/>
      <c r="C115" s="594">
        <f t="shared" ca="1" si="37"/>
        <v>46207</v>
      </c>
      <c r="F115" s="16">
        <v>86</v>
      </c>
      <c r="G115" s="594">
        <v>46206.75</v>
      </c>
      <c r="I115" s="16">
        <v>87</v>
      </c>
      <c r="J115" s="594">
        <v>46206.895833333336</v>
      </c>
    </row>
    <row r="116" spans="1:10" x14ac:dyDescent="0.2">
      <c r="A116" s="594">
        <v>46206.895833333336</v>
      </c>
      <c r="B116" s="16"/>
      <c r="C116" s="594">
        <f t="shared" ca="1" si="37"/>
        <v>46207.145833333336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730</v>
      </c>
      <c r="B119" s="16"/>
      <c r="C119" s="16"/>
      <c r="F119" s="16"/>
      <c r="G119" s="594"/>
      <c r="I119" s="16"/>
      <c r="J119" s="16"/>
    </row>
    <row r="120" spans="1:10" x14ac:dyDescent="0.2">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x14ac:dyDescent="0.2">
      <c r="A121" s="594">
        <v>46207.708333333336</v>
      </c>
      <c r="B121" s="16"/>
      <c r="C121" s="594">
        <f t="shared" ca="1" si="38"/>
        <v>46207.958333333336</v>
      </c>
      <c r="D121" s="622"/>
      <c r="F121" s="16">
        <v>89</v>
      </c>
      <c r="G121" s="594">
        <v>46207.708333333336</v>
      </c>
      <c r="I121" s="16">
        <v>90</v>
      </c>
      <c r="J121" s="594">
        <v>46207.541666666664</v>
      </c>
    </row>
    <row r="122" spans="1:10" x14ac:dyDescent="0.2">
      <c r="A122" s="594">
        <v>46208.666666666664</v>
      </c>
      <c r="B122" s="16"/>
      <c r="C122" s="594">
        <f t="shared" ca="1" si="38"/>
        <v>46208.916666666664</v>
      </c>
      <c r="D122" s="622"/>
      <c r="F122" s="16">
        <v>91</v>
      </c>
      <c r="G122" s="594">
        <v>46208.666666666664</v>
      </c>
      <c r="I122" s="16">
        <v>91</v>
      </c>
      <c r="J122" s="594">
        <v>46208.666666666664</v>
      </c>
    </row>
    <row r="123" spans="1:10" x14ac:dyDescent="0.2">
      <c r="A123" s="594">
        <v>46208.833333333336</v>
      </c>
      <c r="B123" s="16"/>
      <c r="C123" s="594">
        <f t="shared" ca="1" si="38"/>
        <v>46209.083333333336</v>
      </c>
      <c r="D123" s="622"/>
      <c r="F123" s="16">
        <v>92</v>
      </c>
      <c r="G123" s="594">
        <v>46208.833333333336</v>
      </c>
      <c r="I123" s="16">
        <v>92</v>
      </c>
      <c r="J123" s="594">
        <v>46208.833333333336</v>
      </c>
    </row>
    <row r="124" spans="1:10" x14ac:dyDescent="0.2">
      <c r="A124" s="594">
        <v>46209.625</v>
      </c>
      <c r="B124" s="16"/>
      <c r="C124" s="594">
        <f t="shared" ca="1" si="38"/>
        <v>46209.875</v>
      </c>
      <c r="D124" s="622"/>
      <c r="F124" s="16">
        <v>93</v>
      </c>
      <c r="G124" s="594">
        <v>46209.625</v>
      </c>
      <c r="I124" s="16">
        <v>93</v>
      </c>
      <c r="J124" s="594">
        <v>46209.625</v>
      </c>
    </row>
    <row r="125" spans="1:10" x14ac:dyDescent="0.2">
      <c r="A125" s="594">
        <v>46209.833333333336</v>
      </c>
      <c r="B125" s="16"/>
      <c r="C125" s="594">
        <f t="shared" ca="1" si="38"/>
        <v>46210.083333333336</v>
      </c>
      <c r="D125" s="622"/>
      <c r="F125" s="16">
        <v>94</v>
      </c>
      <c r="G125" s="594">
        <v>46209.833333333336</v>
      </c>
      <c r="I125" s="16">
        <v>94</v>
      </c>
      <c r="J125" s="594">
        <v>46209.833333333336</v>
      </c>
    </row>
    <row r="126" spans="1:10" x14ac:dyDescent="0.2">
      <c r="A126" s="594">
        <v>46210.5</v>
      </c>
      <c r="B126" s="16"/>
      <c r="C126" s="594">
        <f t="shared" ca="1" si="38"/>
        <v>46210.75</v>
      </c>
      <c r="D126" s="622"/>
      <c r="F126" s="16">
        <v>95</v>
      </c>
      <c r="G126" s="594">
        <v>46210.5</v>
      </c>
      <c r="I126" s="16">
        <v>95</v>
      </c>
      <c r="J126" s="594">
        <v>46210.5</v>
      </c>
    </row>
    <row r="127" spans="1:10" x14ac:dyDescent="0.2">
      <c r="A127" s="594">
        <v>46210.666666666664</v>
      </c>
      <c r="B127" s="16"/>
      <c r="C127" s="594">
        <f t="shared" ca="1" si="38"/>
        <v>46210.916666666664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46213.875</v>
      </c>
      <c r="D132" s="622"/>
      <c r="F132" s="16">
        <v>98</v>
      </c>
      <c r="G132" s="594">
        <v>46213.625</v>
      </c>
      <c r="I132" s="16">
        <v>98</v>
      </c>
      <c r="J132" s="594">
        <v>46213.625</v>
      </c>
    </row>
    <row r="133" spans="1:10" x14ac:dyDescent="0.2">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46215.125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46217.875</v>
      </c>
      <c r="D138" s="622"/>
    </row>
    <row r="139" spans="1:10" x14ac:dyDescent="0.2">
      <c r="A139" s="594">
        <v>46218.625</v>
      </c>
      <c r="B139" s="16"/>
      <c r="C139" s="594">
        <f ca="1">A139+INDEX($V$3:$V$86,MATCH($C$3,$P$3:$P$86,0))*INDEX($W$3:$W$86,MATCH($C$3,$P$3:$P$86,0))</f>
        <v>46218.875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46221.958333333336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Miguel Angel Tejero</cp:lastModifiedBy>
  <cp:lastPrinted>2018-12-06T18:06:35Z</cp:lastPrinted>
  <dcterms:created xsi:type="dcterms:W3CDTF">2015-10-31T09:41:54Z</dcterms:created>
  <dcterms:modified xsi:type="dcterms:W3CDTF">2026-04-09T15:08:01Z</dcterms:modified>
</cp:coreProperties>
</file>